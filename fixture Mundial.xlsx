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1387D09-C4F8-4037-BA6D-E3D4C5A894D4}" xr6:coauthVersionLast="45" xr6:coauthVersionMax="45" xr10:uidLastSave="{00000000-0000-0000-0000-000000000000}"/>
  <bookViews>
    <workbookView xWindow="1155" yWindow="180" windowWidth="26190" windowHeight="14925" xr2:uid="{98236D63-1976-43EA-B45A-71A69615C9DE}"/>
  </bookViews>
  <sheets>
    <sheet name="Hoja1" sheetId="1" r:id="rId1"/>
  </sheets>
  <definedNames>
    <definedName name="_xlnm._FilterDatabase" localSheetId="0" hidden="1">Hoja1!$Q$19:$Q$23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0" i="1" l="1"/>
  <c r="U30" i="1"/>
  <c r="X25" i="1"/>
  <c r="U25" i="1"/>
  <c r="X21" i="1" l="1"/>
  <c r="U21" i="1"/>
  <c r="X20" i="1"/>
  <c r="U20" i="1"/>
  <c r="G70" i="1" l="1"/>
  <c r="B70" i="1"/>
  <c r="A70" i="1"/>
  <c r="G69" i="1"/>
  <c r="B69" i="1"/>
  <c r="A69" i="1"/>
  <c r="P68" i="1"/>
  <c r="O68" i="1"/>
  <c r="G68" i="1"/>
  <c r="B68" i="1"/>
  <c r="A68" i="1"/>
  <c r="P67" i="1"/>
  <c r="O67" i="1"/>
  <c r="G67" i="1"/>
  <c r="B67" i="1"/>
  <c r="A67" i="1"/>
  <c r="P66" i="1"/>
  <c r="O66" i="1"/>
  <c r="G66" i="1"/>
  <c r="B66" i="1"/>
  <c r="A66" i="1"/>
  <c r="P65" i="1"/>
  <c r="O65" i="1"/>
  <c r="G65" i="1"/>
  <c r="B65" i="1"/>
  <c r="A65" i="1"/>
  <c r="G61" i="1"/>
  <c r="B61" i="1"/>
  <c r="A61" i="1"/>
  <c r="G60" i="1"/>
  <c r="B60" i="1"/>
  <c r="A60" i="1"/>
  <c r="P59" i="1"/>
  <c r="O59" i="1"/>
  <c r="G59" i="1"/>
  <c r="B59" i="1"/>
  <c r="A59" i="1"/>
  <c r="P58" i="1"/>
  <c r="O58" i="1"/>
  <c r="G58" i="1"/>
  <c r="B58" i="1"/>
  <c r="A58" i="1"/>
  <c r="P57" i="1"/>
  <c r="O57" i="1"/>
  <c r="G57" i="1"/>
  <c r="B57" i="1"/>
  <c r="A57" i="1"/>
  <c r="P56" i="1"/>
  <c r="O56" i="1"/>
  <c r="G56" i="1"/>
  <c r="B56" i="1"/>
  <c r="A56" i="1"/>
  <c r="G52" i="1"/>
  <c r="B52" i="1"/>
  <c r="A52" i="1"/>
  <c r="G51" i="1"/>
  <c r="B51" i="1"/>
  <c r="A51" i="1"/>
  <c r="P50" i="1"/>
  <c r="O50" i="1"/>
  <c r="G50" i="1"/>
  <c r="B50" i="1"/>
  <c r="A50" i="1"/>
  <c r="P49" i="1"/>
  <c r="O49" i="1"/>
  <c r="G49" i="1"/>
  <c r="B49" i="1"/>
  <c r="A49" i="1"/>
  <c r="P48" i="1"/>
  <c r="O48" i="1"/>
  <c r="G48" i="1"/>
  <c r="B48" i="1"/>
  <c r="A48" i="1"/>
  <c r="P47" i="1"/>
  <c r="O47" i="1"/>
  <c r="G47" i="1"/>
  <c r="B47" i="1"/>
  <c r="A47" i="1"/>
  <c r="G43" i="1"/>
  <c r="B43" i="1"/>
  <c r="A43" i="1"/>
  <c r="G42" i="1"/>
  <c r="B42" i="1"/>
  <c r="A42" i="1"/>
  <c r="P41" i="1"/>
  <c r="O41" i="1"/>
  <c r="G41" i="1"/>
  <c r="B41" i="1"/>
  <c r="A41" i="1"/>
  <c r="P40" i="1"/>
  <c r="O40" i="1"/>
  <c r="G40" i="1"/>
  <c r="B40" i="1"/>
  <c r="A40" i="1"/>
  <c r="P39" i="1"/>
  <c r="O39" i="1"/>
  <c r="G39" i="1"/>
  <c r="B39" i="1"/>
  <c r="A39" i="1"/>
  <c r="P38" i="1"/>
  <c r="O38" i="1"/>
  <c r="G38" i="1"/>
  <c r="B38" i="1"/>
  <c r="A38" i="1"/>
  <c r="G34" i="1"/>
  <c r="B34" i="1"/>
  <c r="A34" i="1"/>
  <c r="G33" i="1"/>
  <c r="B33" i="1"/>
  <c r="A33" i="1"/>
  <c r="P32" i="1"/>
  <c r="O32" i="1"/>
  <c r="G32" i="1"/>
  <c r="B32" i="1"/>
  <c r="A32" i="1"/>
  <c r="P31" i="1"/>
  <c r="O31" i="1"/>
  <c r="G31" i="1"/>
  <c r="B31" i="1"/>
  <c r="A31" i="1"/>
  <c r="P30" i="1"/>
  <c r="O30" i="1"/>
  <c r="G30" i="1"/>
  <c r="B30" i="1"/>
  <c r="A30" i="1"/>
  <c r="P29" i="1"/>
  <c r="O29" i="1"/>
  <c r="G29" i="1"/>
  <c r="N29" i="1" s="1"/>
  <c r="B29" i="1"/>
  <c r="A29" i="1"/>
  <c r="P13" i="1"/>
  <c r="O13" i="1"/>
  <c r="P12" i="1"/>
  <c r="O12" i="1"/>
  <c r="P11" i="1"/>
  <c r="O11" i="1"/>
  <c r="P10" i="1"/>
  <c r="O10" i="1"/>
  <c r="P23" i="1"/>
  <c r="O23" i="1"/>
  <c r="P22" i="1"/>
  <c r="O22" i="1"/>
  <c r="P21" i="1"/>
  <c r="O21" i="1"/>
  <c r="P20" i="1"/>
  <c r="O20" i="1"/>
  <c r="G25" i="1"/>
  <c r="B25" i="1"/>
  <c r="A25" i="1"/>
  <c r="G24" i="1"/>
  <c r="B24" i="1"/>
  <c r="A24" i="1"/>
  <c r="G23" i="1"/>
  <c r="B23" i="1"/>
  <c r="A23" i="1"/>
  <c r="G22" i="1"/>
  <c r="B22" i="1"/>
  <c r="A22" i="1"/>
  <c r="G21" i="1"/>
  <c r="B21" i="1"/>
  <c r="A21" i="1"/>
  <c r="G20" i="1"/>
  <c r="B20" i="1"/>
  <c r="A20" i="1"/>
  <c r="A3" i="1"/>
  <c r="A4" i="1"/>
  <c r="A5" i="1"/>
  <c r="A6" i="1"/>
  <c r="A7" i="1"/>
  <c r="A10" i="1"/>
  <c r="A11" i="1"/>
  <c r="A12" i="1"/>
  <c r="A13" i="1"/>
  <c r="A14" i="1"/>
  <c r="A15" i="1"/>
  <c r="G15" i="1"/>
  <c r="B15" i="1"/>
  <c r="G14" i="1"/>
  <c r="B14" i="1"/>
  <c r="G13" i="1"/>
  <c r="B13" i="1"/>
  <c r="G12" i="1"/>
  <c r="B12" i="1"/>
  <c r="G11" i="1"/>
  <c r="B11" i="1"/>
  <c r="G10" i="1"/>
  <c r="B10" i="1"/>
  <c r="G3" i="1"/>
  <c r="G4" i="1"/>
  <c r="G5" i="1"/>
  <c r="G6" i="1"/>
  <c r="G7" i="1"/>
  <c r="B3" i="1"/>
  <c r="B4" i="1"/>
  <c r="B5" i="1"/>
  <c r="B6" i="1"/>
  <c r="B7" i="1"/>
  <c r="L29" i="1" l="1"/>
  <c r="K11" i="1"/>
  <c r="L12" i="1"/>
  <c r="Q22" i="1"/>
  <c r="Q23" i="1"/>
  <c r="Q11" i="1"/>
  <c r="Q13" i="1"/>
  <c r="Q32" i="1"/>
  <c r="Q50" i="1"/>
  <c r="Q68" i="1"/>
  <c r="N11" i="1"/>
  <c r="L11" i="1"/>
  <c r="Q38" i="1"/>
  <c r="Q56" i="1"/>
  <c r="Q65" i="1"/>
  <c r="Q31" i="1"/>
  <c r="Q49" i="1"/>
  <c r="Q39" i="1"/>
  <c r="Q57" i="1"/>
  <c r="Q29" i="1"/>
  <c r="Q40" i="1"/>
  <c r="Q47" i="1"/>
  <c r="Q58" i="1"/>
  <c r="Q20" i="1"/>
  <c r="Q21" i="1"/>
  <c r="Q10" i="1"/>
  <c r="Q12" i="1"/>
  <c r="Q30" i="1"/>
  <c r="Q41" i="1"/>
  <c r="Q48" i="1"/>
  <c r="Q59" i="1"/>
  <c r="Q66" i="1"/>
  <c r="Q67" i="1"/>
  <c r="K58" i="1"/>
  <c r="K67" i="1"/>
  <c r="K59" i="1"/>
  <c r="K68" i="1"/>
  <c r="L67" i="1"/>
  <c r="L50" i="1"/>
  <c r="N67" i="1"/>
  <c r="N49" i="1"/>
  <c r="N68" i="1"/>
  <c r="N40" i="1"/>
  <c r="L41" i="1"/>
  <c r="L59" i="1"/>
  <c r="L68" i="1"/>
  <c r="L48" i="1"/>
  <c r="K66" i="1"/>
  <c r="K56" i="1"/>
  <c r="L47" i="1"/>
  <c r="N48" i="1"/>
  <c r="L56" i="1"/>
  <c r="L57" i="1"/>
  <c r="L66" i="1"/>
  <c r="N30" i="1"/>
  <c r="N38" i="1"/>
  <c r="N47" i="1"/>
  <c r="N57" i="1"/>
  <c r="N66" i="1"/>
  <c r="N56" i="1"/>
  <c r="N65" i="1"/>
  <c r="K65" i="1"/>
  <c r="K57" i="1"/>
  <c r="L65" i="1"/>
  <c r="K50" i="1"/>
  <c r="L58" i="1"/>
  <c r="N59" i="1"/>
  <c r="K49" i="1"/>
  <c r="K48" i="1"/>
  <c r="N58" i="1"/>
  <c r="L49" i="1"/>
  <c r="N50" i="1"/>
  <c r="K47" i="1"/>
  <c r="K38" i="1"/>
  <c r="L39" i="1"/>
  <c r="K39" i="1"/>
  <c r="K40" i="1"/>
  <c r="N41" i="1"/>
  <c r="K41" i="1"/>
  <c r="N32" i="1"/>
  <c r="L40" i="1"/>
  <c r="K31" i="1"/>
  <c r="L38" i="1"/>
  <c r="N31" i="1"/>
  <c r="K32" i="1"/>
  <c r="L31" i="1"/>
  <c r="L30" i="1"/>
  <c r="N39" i="1"/>
  <c r="K29" i="1"/>
  <c r="M29" i="1" s="1"/>
  <c r="L32" i="1"/>
  <c r="K30" i="1"/>
  <c r="K23" i="1"/>
  <c r="K12" i="1"/>
  <c r="L23" i="1"/>
  <c r="K22" i="1"/>
  <c r="N12" i="1"/>
  <c r="L13" i="1"/>
  <c r="K13" i="1"/>
  <c r="K20" i="1"/>
  <c r="L22" i="1"/>
  <c r="N13" i="1"/>
  <c r="N22" i="1"/>
  <c r="N23" i="1"/>
  <c r="K21" i="1"/>
  <c r="K10" i="1"/>
  <c r="L10" i="1"/>
  <c r="L20" i="1"/>
  <c r="N20" i="1"/>
  <c r="L21" i="1"/>
  <c r="N10" i="1"/>
  <c r="N21" i="1"/>
  <c r="P3" i="1"/>
  <c r="P4" i="1"/>
  <c r="P5" i="1"/>
  <c r="P2" i="1"/>
  <c r="O3" i="1"/>
  <c r="Q3" i="1" s="1"/>
  <c r="O4" i="1"/>
  <c r="O5" i="1"/>
  <c r="O2" i="1"/>
  <c r="A2" i="1"/>
  <c r="G2" i="1"/>
  <c r="B2" i="1"/>
  <c r="M11" i="1" l="1"/>
  <c r="Q2" i="1"/>
  <c r="Q4" i="1"/>
  <c r="Q5" i="1"/>
  <c r="M67" i="1"/>
  <c r="M68" i="1"/>
  <c r="M59" i="1"/>
  <c r="M56" i="1"/>
  <c r="M66" i="1"/>
  <c r="M57" i="1"/>
  <c r="M47" i="1"/>
  <c r="M40" i="1"/>
  <c r="M48" i="1"/>
  <c r="M39" i="1"/>
  <c r="M50" i="1"/>
  <c r="J50" i="1" s="1"/>
  <c r="R50" i="1" s="1"/>
  <c r="M31" i="1"/>
  <c r="J29" i="1" s="1"/>
  <c r="M58" i="1"/>
  <c r="M23" i="1"/>
  <c r="M30" i="1"/>
  <c r="M65" i="1"/>
  <c r="M49" i="1"/>
  <c r="M41" i="1"/>
  <c r="M32" i="1"/>
  <c r="J30" i="1" s="1"/>
  <c r="M38" i="1"/>
  <c r="M12" i="1"/>
  <c r="J11" i="1" s="1"/>
  <c r="M22" i="1"/>
  <c r="M13" i="1"/>
  <c r="M20" i="1"/>
  <c r="M21" i="1"/>
  <c r="M10" i="1"/>
  <c r="J10" i="1" s="1"/>
  <c r="R10" i="1" s="1"/>
  <c r="K4" i="1"/>
  <c r="L5" i="1"/>
  <c r="L2" i="1"/>
  <c r="N2" i="1"/>
  <c r="N5" i="1"/>
  <c r="N4" i="1"/>
  <c r="N3" i="1"/>
  <c r="K5" i="1"/>
  <c r="L3" i="1"/>
  <c r="L4" i="1"/>
  <c r="K3" i="1"/>
  <c r="K2" i="1"/>
  <c r="J67" i="1" l="1"/>
  <c r="J40" i="1"/>
  <c r="J41" i="1"/>
  <c r="R40" i="1" s="1"/>
  <c r="J68" i="1"/>
  <c r="J66" i="1"/>
  <c r="J59" i="1"/>
  <c r="J56" i="1"/>
  <c r="J47" i="1"/>
  <c r="J57" i="1"/>
  <c r="J58" i="1"/>
  <c r="R58" i="1" s="1"/>
  <c r="J65" i="1"/>
  <c r="J20" i="1"/>
  <c r="J49" i="1"/>
  <c r="J39" i="1"/>
  <c r="J48" i="1"/>
  <c r="J38" i="1"/>
  <c r="J13" i="1"/>
  <c r="J31" i="1"/>
  <c r="J22" i="1"/>
  <c r="J32" i="1"/>
  <c r="R29" i="1" s="1"/>
  <c r="J21" i="1"/>
  <c r="J23" i="1"/>
  <c r="J12" i="1"/>
  <c r="R11" i="1" s="1"/>
  <c r="M2" i="1"/>
  <c r="M5" i="1"/>
  <c r="M4" i="1"/>
  <c r="M3" i="1"/>
  <c r="R68" i="1" l="1"/>
  <c r="R41" i="1"/>
  <c r="R12" i="1"/>
  <c r="R47" i="1"/>
  <c r="R31" i="1"/>
  <c r="R32" i="1"/>
  <c r="R66" i="1"/>
  <c r="R67" i="1"/>
  <c r="R57" i="1"/>
  <c r="R48" i="1"/>
  <c r="R38" i="1"/>
  <c r="R59" i="1"/>
  <c r="R23" i="1"/>
  <c r="R56" i="1"/>
  <c r="R65" i="1"/>
  <c r="R22" i="1"/>
  <c r="R49" i="1"/>
  <c r="J2" i="1"/>
  <c r="R39" i="1"/>
  <c r="J5" i="1"/>
  <c r="R30" i="1"/>
  <c r="R21" i="1"/>
  <c r="R20" i="1"/>
  <c r="R13" i="1"/>
  <c r="I15" i="1" s="1"/>
  <c r="X2" i="1" s="1"/>
  <c r="U12" i="1" s="1"/>
  <c r="J4" i="1"/>
  <c r="J3" i="1"/>
  <c r="I60" i="1" l="1"/>
  <c r="U7" i="1" s="1"/>
  <c r="I14" i="1"/>
  <c r="U4" i="1" s="1"/>
  <c r="I61" i="1"/>
  <c r="X9" i="1" s="1"/>
  <c r="X15" i="1" s="1"/>
  <c r="R3" i="1"/>
  <c r="I70" i="1"/>
  <c r="X7" i="1" s="1"/>
  <c r="X14" i="1" s="1"/>
  <c r="I69" i="1"/>
  <c r="U9" i="1" s="1"/>
  <c r="I52" i="1"/>
  <c r="X6" i="1" s="1"/>
  <c r="U14" i="1" s="1"/>
  <c r="I51" i="1"/>
  <c r="U8" i="1" s="1"/>
  <c r="R4" i="1"/>
  <c r="I43" i="1"/>
  <c r="X8" i="1" s="1"/>
  <c r="U15" i="1" s="1"/>
  <c r="I42" i="1"/>
  <c r="U6" i="1" s="1"/>
  <c r="I33" i="1"/>
  <c r="U5" i="1" s="1"/>
  <c r="I34" i="1"/>
  <c r="X3" i="1" s="1"/>
  <c r="X12" i="1" s="1"/>
  <c r="I25" i="1"/>
  <c r="X5" i="1" s="1"/>
  <c r="X13" i="1" s="1"/>
  <c r="I24" i="1"/>
  <c r="U3" i="1" s="1"/>
  <c r="R5" i="1"/>
  <c r="R2" i="1"/>
  <c r="I7" i="1" l="1"/>
  <c r="X4" i="1" s="1"/>
  <c r="U13" i="1" s="1"/>
  <c r="I6" i="1"/>
  <c r="U2" i="1" s="1"/>
</calcChain>
</file>

<file path=xl/sharedStrings.xml><?xml version="1.0" encoding="utf-8"?>
<sst xmlns="http://schemas.openxmlformats.org/spreadsheetml/2006/main" count="268" uniqueCount="88">
  <si>
    <t>Grupo A</t>
  </si>
  <si>
    <t>Qatar</t>
  </si>
  <si>
    <t>Ecuador</t>
  </si>
  <si>
    <t>Senegal</t>
  </si>
  <si>
    <t>Paises Bajos</t>
  </si>
  <si>
    <t>PJ</t>
  </si>
  <si>
    <t>PG</t>
  </si>
  <si>
    <t>PE</t>
  </si>
  <si>
    <t>PP</t>
  </si>
  <si>
    <t>Pts</t>
  </si>
  <si>
    <t>GF</t>
  </si>
  <si>
    <t>GC</t>
  </si>
  <si>
    <t>Peso</t>
  </si>
  <si>
    <t>2do Puesto</t>
  </si>
  <si>
    <t>1er  Puesto</t>
  </si>
  <si>
    <t>Grupo B</t>
  </si>
  <si>
    <t>Grupo C</t>
  </si>
  <si>
    <t>Inglaterra</t>
  </si>
  <si>
    <t>Irán</t>
  </si>
  <si>
    <t>EEUU</t>
  </si>
  <si>
    <t>Gales</t>
  </si>
  <si>
    <t>Argentina</t>
  </si>
  <si>
    <t>Arabia Saudita</t>
  </si>
  <si>
    <t>México</t>
  </si>
  <si>
    <t>Polonia</t>
  </si>
  <si>
    <t>Grupo D</t>
  </si>
  <si>
    <t>Grupo E</t>
  </si>
  <si>
    <t>Grupo F</t>
  </si>
  <si>
    <t>Grupo G</t>
  </si>
  <si>
    <t>Grupo H</t>
  </si>
  <si>
    <t>Dinamarca</t>
  </si>
  <si>
    <t>Tunez</t>
  </si>
  <si>
    <t>Francia</t>
  </si>
  <si>
    <t>Australia</t>
  </si>
  <si>
    <t>Alemania</t>
  </si>
  <si>
    <t>Japón</t>
  </si>
  <si>
    <t>España</t>
  </si>
  <si>
    <t>Costa Rica</t>
  </si>
  <si>
    <t>Marruecos</t>
  </si>
  <si>
    <t>Croacia</t>
  </si>
  <si>
    <t>Canadá</t>
  </si>
  <si>
    <t>Bélgica</t>
  </si>
  <si>
    <t>Suiza</t>
  </si>
  <si>
    <t>Camerún</t>
  </si>
  <si>
    <t>Brasil</t>
  </si>
  <si>
    <t>Serbia</t>
  </si>
  <si>
    <t>Uruguay</t>
  </si>
  <si>
    <t>Corea del Sur</t>
  </si>
  <si>
    <t>Portugal</t>
  </si>
  <si>
    <t>Ghana</t>
  </si>
  <si>
    <t>DIF</t>
  </si>
  <si>
    <t>Equipos</t>
  </si>
  <si>
    <t>OCTVOS DE FINAL</t>
  </si>
  <si>
    <t>1°A</t>
  </si>
  <si>
    <t>1°C</t>
  </si>
  <si>
    <t>1°B</t>
  </si>
  <si>
    <t>2°B</t>
  </si>
  <si>
    <t>2°D</t>
  </si>
  <si>
    <t>2°A</t>
  </si>
  <si>
    <t>1°E</t>
  </si>
  <si>
    <t>1°G</t>
  </si>
  <si>
    <t>1°F</t>
  </si>
  <si>
    <t>1°H</t>
  </si>
  <si>
    <t>2°F</t>
  </si>
  <si>
    <t>2°H</t>
  </si>
  <si>
    <t>2°E</t>
  </si>
  <si>
    <t>2°G</t>
  </si>
  <si>
    <t>CUARTOS DE FINAL</t>
  </si>
  <si>
    <t>1°A/2°B</t>
  </si>
  <si>
    <t>1°C/2°D</t>
  </si>
  <si>
    <t>2°C</t>
  </si>
  <si>
    <t>1°D</t>
  </si>
  <si>
    <t>1°B/2°A</t>
  </si>
  <si>
    <t>1°D/2°C</t>
  </si>
  <si>
    <t>1°E/2°F</t>
  </si>
  <si>
    <t>1°G/2°H</t>
  </si>
  <si>
    <t>1°F/2°E</t>
  </si>
  <si>
    <t>1°H/2°G</t>
  </si>
  <si>
    <t>SEMIFINAL</t>
  </si>
  <si>
    <t>G1</t>
  </si>
  <si>
    <t>G3</t>
  </si>
  <si>
    <t>G2</t>
  </si>
  <si>
    <t>G4</t>
  </si>
  <si>
    <t>Gana A(penales)</t>
  </si>
  <si>
    <t>Gana M(penales)</t>
  </si>
  <si>
    <t>Gana C(penales)</t>
  </si>
  <si>
    <t>3er y 4to PUESTO</t>
  </si>
  <si>
    <t>FINAL 1er 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</si>
</sst>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5" fillId="2" borderId="2" xfId="0" applyFont="1" applyFill="1" applyBorder="1"/>
    <xf numFmtId="0" fontId="3" fillId="3" borderId="2" xfId="0" applyFont="1" applyFill="1" applyBorder="1"/>
    <xf numFmtId="0" fontId="0" fillId="4" borderId="0" xfId="0" applyFill="1"/>
    <xf numFmtId="0" fontId="0" fillId="4" borderId="0" xfId="0" applyFill="1" applyBorder="1" applyAlignment="1">
      <alignment horizontal="center" vertical="center"/>
    </xf>
    <xf numFmtId="0" fontId="5" fillId="4" borderId="0" xfId="0" applyFont="1" applyFill="1" applyBorder="1"/>
    <xf numFmtId="0" fontId="0" fillId="4" borderId="2" xfId="0" applyFill="1" applyBorder="1"/>
    <xf numFmtId="0" fontId="1" fillId="5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/>
    </xf>
    <xf numFmtId="0" fontId="0" fillId="6" borderId="2" xfId="0" applyFill="1" applyBorder="1" applyAlignment="1"/>
    <xf numFmtId="0" fontId="1" fillId="5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/>
    <xf numFmtId="0" fontId="1" fillId="5" borderId="6" xfId="0" applyFont="1" applyFill="1" applyBorder="1" applyAlignment="1">
      <alignment horizontal="left" vertical="center"/>
    </xf>
    <xf numFmtId="0" fontId="1" fillId="7" borderId="2" xfId="0" applyFont="1" applyFill="1" applyBorder="1"/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8" fillId="4" borderId="2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left" vertical="center"/>
    </xf>
    <xf numFmtId="0" fontId="0" fillId="13" borderId="0" xfId="0" applyFill="1"/>
    <xf numFmtId="0" fontId="0" fillId="1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8" borderId="0" xfId="0" applyFill="1"/>
    <xf numFmtId="0" fontId="11" fillId="11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1" fillId="15" borderId="7" xfId="0" applyFont="1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10" fillId="12" borderId="7" xfId="0" applyFont="1" applyFill="1" applyBorder="1" applyAlignment="1">
      <alignment horizontal="center" vertical="center"/>
    </xf>
    <xf numFmtId="0" fontId="10" fillId="12" borderId="8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69E9-23BE-4628-B276-CBED625084BF}">
  <dimension ref="A1:Z75"/>
  <sheetViews>
    <sheetView tabSelected="1" topLeftCell="B1" workbookViewId="0">
      <selection activeCell="W27" sqref="W27"/>
    </sheetView>
  </sheetViews>
  <sheetFormatPr baseColWidth="10" defaultRowHeight="15" x14ac:dyDescent="0.25"/>
  <cols>
    <col min="1" max="1" width="5.5703125" customWidth="1"/>
    <col min="2" max="2" width="5.7109375" customWidth="1"/>
    <col min="3" max="3" width="13.85546875" customWidth="1"/>
    <col min="4" max="5" width="5.7109375" customWidth="1"/>
    <col min="6" max="6" width="13.7109375" customWidth="1"/>
    <col min="7" max="7" width="5.7109375" customWidth="1"/>
    <col min="8" max="8" width="18.5703125" customWidth="1"/>
    <col min="9" max="9" width="17" customWidth="1"/>
    <col min="10" max="17" width="5.7109375" customWidth="1"/>
    <col min="20" max="20" width="7.7109375" bestFit="1" customWidth="1"/>
    <col min="21" max="21" width="20.7109375" customWidth="1"/>
    <col min="22" max="23" width="5.7109375" customWidth="1"/>
    <col min="24" max="24" width="21" customWidth="1"/>
    <col min="25" max="25" width="7.7109375" bestFit="1" customWidth="1"/>
    <col min="26" max="26" width="15.7109375" bestFit="1" customWidth="1"/>
  </cols>
  <sheetData>
    <row r="1" spans="1:26" ht="15.75" x14ac:dyDescent="0.25">
      <c r="A1" s="3"/>
      <c r="B1" s="51" t="s">
        <v>0</v>
      </c>
      <c r="C1" s="52"/>
      <c r="D1" s="52"/>
      <c r="E1" s="52"/>
      <c r="F1" s="52"/>
      <c r="G1" s="53"/>
      <c r="H1" s="3"/>
      <c r="I1" s="20" t="s">
        <v>51</v>
      </c>
      <c r="J1" s="21" t="s">
        <v>9</v>
      </c>
      <c r="K1" s="21" t="s">
        <v>5</v>
      </c>
      <c r="L1" s="21" t="s">
        <v>6</v>
      </c>
      <c r="M1" s="21" t="s">
        <v>7</v>
      </c>
      <c r="N1" s="21" t="s">
        <v>8</v>
      </c>
      <c r="O1" s="21" t="s">
        <v>10</v>
      </c>
      <c r="P1" s="21" t="s">
        <v>11</v>
      </c>
      <c r="Q1" s="22" t="s">
        <v>50</v>
      </c>
      <c r="R1" s="21" t="s">
        <v>12</v>
      </c>
      <c r="S1" s="3"/>
      <c r="T1" s="6"/>
      <c r="U1" s="56" t="s">
        <v>52</v>
      </c>
      <c r="V1" s="57"/>
      <c r="W1" s="57"/>
      <c r="X1" s="58"/>
      <c r="Y1" s="6"/>
      <c r="Z1" s="3"/>
    </row>
    <row r="2" spans="1:26" x14ac:dyDescent="0.25">
      <c r="A2" s="3">
        <f>IF(ISBLANK(D2),0,1)</f>
        <v>1</v>
      </c>
      <c r="B2" s="8">
        <f>IF(D2&gt;E2,1,0)</f>
        <v>0</v>
      </c>
      <c r="C2" s="10" t="s">
        <v>1</v>
      </c>
      <c r="D2" s="11">
        <v>0</v>
      </c>
      <c r="E2" s="11">
        <v>2</v>
      </c>
      <c r="F2" s="12" t="s">
        <v>2</v>
      </c>
      <c r="G2" s="9">
        <f>IF(E2&gt;D2,1,0)</f>
        <v>1</v>
      </c>
      <c r="H2" s="3"/>
      <c r="I2" s="14" t="s">
        <v>4</v>
      </c>
      <c r="J2" s="13">
        <f>3*L2+M2</f>
        <v>7</v>
      </c>
      <c r="K2" s="13">
        <f>SUMIF(C:C,I2,A:A)+SUMIF(F:F,I2,A:A)</f>
        <v>3</v>
      </c>
      <c r="L2" s="13">
        <f>SUMIF(C:C,I2,B:B)+SUMIF(F:F,I2,G:G)</f>
        <v>2</v>
      </c>
      <c r="M2" s="13">
        <f>K2-(L2+N2)</f>
        <v>1</v>
      </c>
      <c r="N2" s="13">
        <f>SUMIF(C:C,I2,G:G)+SUMIF(F:F,I2,B:B)</f>
        <v>0</v>
      </c>
      <c r="O2" s="13">
        <f>SUMIF(C:C,I2,D:D)+SUMIF(F:F,I2,E:E)</f>
        <v>5</v>
      </c>
      <c r="P2" s="13">
        <f>SUMIF(C:C,I2,E:E)+SUMIF(F:F,I2,D:D)</f>
        <v>1</v>
      </c>
      <c r="Q2" s="15">
        <f>O2-P2</f>
        <v>4</v>
      </c>
      <c r="R2" s="13">
        <f>J2*10000+(O2-P2)*100+O2</f>
        <v>70405</v>
      </c>
      <c r="S2" s="3"/>
      <c r="T2" s="24" t="s">
        <v>53</v>
      </c>
      <c r="U2" s="36" t="str">
        <f>I6</f>
        <v>Paises Bajos</v>
      </c>
      <c r="V2" s="24">
        <v>2</v>
      </c>
      <c r="W2" s="24">
        <v>0</v>
      </c>
      <c r="X2" s="36" t="str">
        <f>I15</f>
        <v>EEUU</v>
      </c>
      <c r="Y2" s="24" t="s">
        <v>56</v>
      </c>
      <c r="Z2" s="3"/>
    </row>
    <row r="3" spans="1:26" x14ac:dyDescent="0.25">
      <c r="A3" s="3">
        <f t="shared" ref="A3:A15" si="0">IF(ISBLANK(D3),0,1)</f>
        <v>1</v>
      </c>
      <c r="B3" s="8">
        <f t="shared" ref="B3:B7" si="1">IF(D3&gt;E3,1,0)</f>
        <v>0</v>
      </c>
      <c r="C3" s="7" t="s">
        <v>3</v>
      </c>
      <c r="D3" s="17">
        <v>0</v>
      </c>
      <c r="E3" s="17">
        <v>2</v>
      </c>
      <c r="F3" s="7" t="s">
        <v>4</v>
      </c>
      <c r="G3" s="9">
        <f t="shared" ref="G3:G7" si="2">IF(E3&gt;D3,1,0)</f>
        <v>1</v>
      </c>
      <c r="H3" s="3"/>
      <c r="I3" s="16" t="s">
        <v>3</v>
      </c>
      <c r="J3" s="17">
        <f>3*L3+M3</f>
        <v>6</v>
      </c>
      <c r="K3" s="17">
        <f>SUMIF(C:C,I3,A:A)+SUMIF(F:F,I3,A:A)</f>
        <v>3</v>
      </c>
      <c r="L3" s="17">
        <f>SUMIF(C:C,I3,B:B)+SUMIF(F:F,I3,G:G)</f>
        <v>2</v>
      </c>
      <c r="M3" s="17">
        <f t="shared" ref="M3:M5" si="3">K3-(L3+N3)</f>
        <v>0</v>
      </c>
      <c r="N3" s="17">
        <f>SUMIF(C:C,I3,G:G)+SUMIF(F:F,I3,B:B)</f>
        <v>1</v>
      </c>
      <c r="O3" s="17">
        <f>SUMIF(C:C,I3,D:D)+SUMIF(F:F,I3,E:E)</f>
        <v>5</v>
      </c>
      <c r="P3" s="17">
        <f>SUMIF(C:C,I3,E:E)+SUMIF(F:F,I3,D:D)</f>
        <v>4</v>
      </c>
      <c r="Q3" s="18">
        <f t="shared" ref="Q3:Q5" si="4">O3-P3</f>
        <v>1</v>
      </c>
      <c r="R3" s="17">
        <f>J3*10000+(O3-P3)*100+O3</f>
        <v>60105</v>
      </c>
      <c r="S3" s="3"/>
      <c r="T3" s="7" t="s">
        <v>54</v>
      </c>
      <c r="U3" s="38" t="str">
        <f>I24</f>
        <v>Argentina</v>
      </c>
      <c r="V3" s="7">
        <v>2</v>
      </c>
      <c r="W3" s="7">
        <v>1</v>
      </c>
      <c r="X3" s="38" t="str">
        <f>I34</f>
        <v>Australia</v>
      </c>
      <c r="Y3" s="7" t="s">
        <v>57</v>
      </c>
      <c r="Z3" s="3"/>
    </row>
    <row r="4" spans="1:26" x14ac:dyDescent="0.25">
      <c r="A4" s="3">
        <f t="shared" si="0"/>
        <v>1</v>
      </c>
      <c r="B4" s="8">
        <f t="shared" si="1"/>
        <v>0</v>
      </c>
      <c r="C4" s="10" t="s">
        <v>1</v>
      </c>
      <c r="D4" s="13">
        <v>1</v>
      </c>
      <c r="E4" s="13">
        <v>3</v>
      </c>
      <c r="F4" s="10" t="s">
        <v>3</v>
      </c>
      <c r="G4" s="9">
        <f t="shared" si="2"/>
        <v>1</v>
      </c>
      <c r="H4" s="3"/>
      <c r="I4" s="14" t="s">
        <v>2</v>
      </c>
      <c r="J4" s="13">
        <f>3*L4+M4</f>
        <v>4</v>
      </c>
      <c r="K4" s="13">
        <f>SUMIF(C:C,I4,A:A)+SUMIF(F:F,I4,A:A)</f>
        <v>3</v>
      </c>
      <c r="L4" s="13">
        <f>SUMIF(C:C,I4,B:B)+SUMIF(F:F,I4,G:G)</f>
        <v>1</v>
      </c>
      <c r="M4" s="13">
        <f t="shared" si="3"/>
        <v>1</v>
      </c>
      <c r="N4" s="13">
        <f>SUMIF(C:C,I4,G:G)+SUMIF(F:F,I4,B:B)</f>
        <v>1</v>
      </c>
      <c r="O4" s="13">
        <f>SUMIF(C:C,I4,D:D)+SUMIF(F:F,I4,E:E)</f>
        <v>4</v>
      </c>
      <c r="P4" s="13">
        <f>SUMIF(C:C,I4,E:E)+SUMIF(F:F,I4,D:D)</f>
        <v>3</v>
      </c>
      <c r="Q4" s="15">
        <f t="shared" si="4"/>
        <v>1</v>
      </c>
      <c r="R4" s="13">
        <f>J4*10000+(O4-P4)*100+O4</f>
        <v>40104</v>
      </c>
      <c r="S4" s="3"/>
      <c r="T4" s="24" t="s">
        <v>55</v>
      </c>
      <c r="U4" s="36" t="str">
        <f>I14</f>
        <v>Inglaterra</v>
      </c>
      <c r="V4" s="24">
        <v>3</v>
      </c>
      <c r="W4" s="24">
        <v>0</v>
      </c>
      <c r="X4" s="36" t="str">
        <f>I7</f>
        <v>Senegal</v>
      </c>
      <c r="Y4" s="24" t="s">
        <v>58</v>
      </c>
      <c r="Z4" s="3"/>
    </row>
    <row r="5" spans="1:26" x14ac:dyDescent="0.25">
      <c r="A5" s="3">
        <f t="shared" si="0"/>
        <v>1</v>
      </c>
      <c r="B5" s="8">
        <f t="shared" si="1"/>
        <v>0</v>
      </c>
      <c r="C5" s="7" t="s">
        <v>2</v>
      </c>
      <c r="D5" s="17">
        <v>1</v>
      </c>
      <c r="E5" s="17">
        <v>1</v>
      </c>
      <c r="F5" s="7" t="s">
        <v>4</v>
      </c>
      <c r="G5" s="9">
        <f t="shared" si="2"/>
        <v>0</v>
      </c>
      <c r="H5" s="3"/>
      <c r="I5" s="19" t="s">
        <v>1</v>
      </c>
      <c r="J5" s="17">
        <f>3*L5+M5</f>
        <v>0</v>
      </c>
      <c r="K5" s="17">
        <f>SUMIF(C:C,I5,A:A)+SUMIF(F:F,I5,A:A)</f>
        <v>3</v>
      </c>
      <c r="L5" s="17">
        <f>SUMIF(C:C,I5,B:B)+SUMIF(F:F,I5,G:G)</f>
        <v>0</v>
      </c>
      <c r="M5" s="17">
        <f t="shared" si="3"/>
        <v>0</v>
      </c>
      <c r="N5" s="17">
        <f>SUMIF(C:C,I5,G:G)+SUMIF(F:F,I5,B:B)</f>
        <v>3</v>
      </c>
      <c r="O5" s="17">
        <f>SUMIF(C:C,I5,D:D)+SUMIF(F:F,I5,E:E)</f>
        <v>1</v>
      </c>
      <c r="P5" s="17">
        <f>SUMIF(C:C,I5,E:E)+SUMIF(F:F,I5,D:D)</f>
        <v>7</v>
      </c>
      <c r="Q5" s="18">
        <f t="shared" si="4"/>
        <v>-6</v>
      </c>
      <c r="R5" s="17">
        <f>J5*10000+(O5-P5)*100+O5</f>
        <v>-599</v>
      </c>
      <c r="S5" s="3"/>
      <c r="T5" s="7" t="s">
        <v>71</v>
      </c>
      <c r="U5" s="38" t="str">
        <f>I33</f>
        <v>Francia</v>
      </c>
      <c r="V5" s="7">
        <v>3</v>
      </c>
      <c r="W5" s="7">
        <v>1</v>
      </c>
      <c r="X5" s="38" t="str">
        <f>I25</f>
        <v>Polonia</v>
      </c>
      <c r="Y5" s="7" t="s">
        <v>70</v>
      </c>
      <c r="Z5" s="3"/>
    </row>
    <row r="6" spans="1:26" ht="15.75" x14ac:dyDescent="0.25">
      <c r="A6" s="3">
        <f t="shared" si="0"/>
        <v>1</v>
      </c>
      <c r="B6" s="8">
        <f t="shared" si="1"/>
        <v>0</v>
      </c>
      <c r="C6" s="10" t="s">
        <v>1</v>
      </c>
      <c r="D6" s="13">
        <v>0</v>
      </c>
      <c r="E6" s="13">
        <v>2</v>
      </c>
      <c r="F6" s="10" t="s">
        <v>4</v>
      </c>
      <c r="G6" s="9">
        <f t="shared" si="2"/>
        <v>1</v>
      </c>
      <c r="H6" s="3"/>
      <c r="I6" s="2" t="str">
        <f>INDEX(I2:I5,MATCH(MAX(R2:R5),R2:R5,0))</f>
        <v>Paises Bajos</v>
      </c>
      <c r="J6" s="54" t="s">
        <v>14</v>
      </c>
      <c r="K6" s="54"/>
      <c r="L6" s="3"/>
      <c r="M6" s="3"/>
      <c r="N6" s="3"/>
      <c r="O6" s="3"/>
      <c r="P6" s="3"/>
      <c r="Q6" s="3"/>
      <c r="R6" s="3"/>
      <c r="S6" s="3"/>
      <c r="T6" s="24" t="s">
        <v>59</v>
      </c>
      <c r="U6" s="36" t="str">
        <f>I42</f>
        <v>Japón</v>
      </c>
      <c r="V6" s="24">
        <v>1</v>
      </c>
      <c r="W6" s="24">
        <v>3</v>
      </c>
      <c r="X6" s="36" t="str">
        <f>I52</f>
        <v>Croacia</v>
      </c>
      <c r="Y6" s="24" t="s">
        <v>63</v>
      </c>
      <c r="Z6" s="34" t="s">
        <v>85</v>
      </c>
    </row>
    <row r="7" spans="1:26" ht="15.75" x14ac:dyDescent="0.25">
      <c r="A7" s="3">
        <f t="shared" si="0"/>
        <v>1</v>
      </c>
      <c r="B7" s="8">
        <f t="shared" si="1"/>
        <v>0</v>
      </c>
      <c r="C7" s="7" t="s">
        <v>2</v>
      </c>
      <c r="D7" s="17">
        <v>1</v>
      </c>
      <c r="E7" s="17">
        <v>2</v>
      </c>
      <c r="F7" s="7" t="s">
        <v>3</v>
      </c>
      <c r="G7" s="8">
        <f t="shared" si="2"/>
        <v>1</v>
      </c>
      <c r="H7" s="3"/>
      <c r="I7" s="1" t="str">
        <f>INDEX(I2:I5,MATCH(LARGE(R2:R5,2),R2:R5,0))</f>
        <v>Senegal</v>
      </c>
      <c r="J7" s="45" t="s">
        <v>13</v>
      </c>
      <c r="K7" s="45"/>
      <c r="L7" s="3"/>
      <c r="M7" s="3"/>
      <c r="N7" s="3"/>
      <c r="O7" s="3"/>
      <c r="P7" s="3"/>
      <c r="Q7" s="3"/>
      <c r="R7" s="3"/>
      <c r="S7" s="3"/>
      <c r="T7" s="7" t="s">
        <v>60</v>
      </c>
      <c r="U7" s="38" t="str">
        <f>I60</f>
        <v>Brasil</v>
      </c>
      <c r="V7" s="7">
        <v>4</v>
      </c>
      <c r="W7" s="7">
        <v>1</v>
      </c>
      <c r="X7" s="38" t="str">
        <f>I70</f>
        <v>Corea del Sur</v>
      </c>
      <c r="Y7" s="7" t="s">
        <v>64</v>
      </c>
      <c r="Z7" s="3"/>
    </row>
    <row r="8" spans="1:26" x14ac:dyDescent="0.25">
      <c r="A8" s="3"/>
      <c r="B8" s="4"/>
      <c r="C8" s="3"/>
      <c r="D8" s="3"/>
      <c r="E8" s="3"/>
      <c r="F8" s="3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24" t="s">
        <v>61</v>
      </c>
      <c r="U8" s="36" t="str">
        <f>I51</f>
        <v>Marruecos</v>
      </c>
      <c r="V8" s="24">
        <v>3</v>
      </c>
      <c r="W8" s="24">
        <v>0</v>
      </c>
      <c r="X8" s="36" t="str">
        <f>I43</f>
        <v>España</v>
      </c>
      <c r="Y8" s="24" t="s">
        <v>65</v>
      </c>
      <c r="Z8" s="34" t="s">
        <v>84</v>
      </c>
    </row>
    <row r="9" spans="1:26" ht="15.75" x14ac:dyDescent="0.25">
      <c r="A9" s="3"/>
      <c r="B9" s="46" t="s">
        <v>15</v>
      </c>
      <c r="C9" s="47"/>
      <c r="D9" s="47"/>
      <c r="E9" s="47"/>
      <c r="F9" s="47"/>
      <c r="G9" s="48"/>
      <c r="H9" s="3"/>
      <c r="I9" s="20" t="s">
        <v>51</v>
      </c>
      <c r="J9" s="21" t="s">
        <v>9</v>
      </c>
      <c r="K9" s="21" t="s">
        <v>5</v>
      </c>
      <c r="L9" s="21" t="s">
        <v>6</v>
      </c>
      <c r="M9" s="21" t="s">
        <v>7</v>
      </c>
      <c r="N9" s="21" t="s">
        <v>8</v>
      </c>
      <c r="O9" s="21" t="s">
        <v>10</v>
      </c>
      <c r="P9" s="21" t="s">
        <v>11</v>
      </c>
      <c r="Q9" s="21" t="s">
        <v>50</v>
      </c>
      <c r="R9" s="21" t="s">
        <v>12</v>
      </c>
      <c r="S9" s="3"/>
      <c r="T9" s="7" t="s">
        <v>62</v>
      </c>
      <c r="U9" s="38" t="str">
        <f>I69</f>
        <v>Portugal</v>
      </c>
      <c r="V9" s="7">
        <v>6</v>
      </c>
      <c r="W9" s="7">
        <v>1</v>
      </c>
      <c r="X9" s="38" t="str">
        <f>I61</f>
        <v>Suiza</v>
      </c>
      <c r="Y9" s="7" t="s">
        <v>66</v>
      </c>
      <c r="Z9" s="3"/>
    </row>
    <row r="10" spans="1:26" x14ac:dyDescent="0.25">
      <c r="A10" s="3">
        <f t="shared" si="0"/>
        <v>1</v>
      </c>
      <c r="B10" s="8">
        <f>IF(D10&gt;E10,1,0)</f>
        <v>1</v>
      </c>
      <c r="C10" s="10" t="s">
        <v>17</v>
      </c>
      <c r="D10" s="11">
        <v>6</v>
      </c>
      <c r="E10" s="11">
        <v>2</v>
      </c>
      <c r="F10" s="12" t="s">
        <v>18</v>
      </c>
      <c r="G10" s="9">
        <f>IF(E10&gt;D10,1,0)</f>
        <v>0</v>
      </c>
      <c r="H10" s="3"/>
      <c r="I10" s="14" t="s">
        <v>17</v>
      </c>
      <c r="J10" s="13">
        <f>3*L10+M10</f>
        <v>7</v>
      </c>
      <c r="K10" s="13">
        <f>SUMIF(C:C,I10,A:A)+SUMIF(F:F,I10,A:A)</f>
        <v>3</v>
      </c>
      <c r="L10" s="13">
        <f>SUMIF(C:C,I10,B:B)+SUMIF(F:F,I10,G:G)</f>
        <v>2</v>
      </c>
      <c r="M10" s="13">
        <f>K10-(L10+N10)</f>
        <v>1</v>
      </c>
      <c r="N10" s="13">
        <f>SUMIF(C:C,I10,G:G)+SUMIF(F:F,I10,B:B)</f>
        <v>0</v>
      </c>
      <c r="O10" s="13">
        <f>SUMIF(C:C,I10,D:D)+SUMIF(F:F,I10,E:E)</f>
        <v>9</v>
      </c>
      <c r="P10" s="13">
        <f>SUMIF(C:C,I10,E:E)+SUMIF(F:F,I10,D:D)</f>
        <v>2</v>
      </c>
      <c r="Q10" s="15">
        <f>O10-P10</f>
        <v>7</v>
      </c>
      <c r="R10" s="13">
        <f>J10*10000+(O10-P10)*100+O10</f>
        <v>70709</v>
      </c>
      <c r="S10" s="3"/>
      <c r="T10" s="6"/>
      <c r="U10" s="6"/>
      <c r="V10" s="6"/>
      <c r="W10" s="6"/>
      <c r="X10" s="6"/>
      <c r="Y10" s="6"/>
      <c r="Z10" s="3"/>
    </row>
    <row r="11" spans="1:26" x14ac:dyDescent="0.25">
      <c r="A11" s="3">
        <f t="shared" si="0"/>
        <v>1</v>
      </c>
      <c r="B11" s="8">
        <f t="shared" ref="B11:B15" si="5">IF(D11&gt;E11,1,0)</f>
        <v>0</v>
      </c>
      <c r="C11" s="7" t="s">
        <v>19</v>
      </c>
      <c r="D11" s="17">
        <v>1</v>
      </c>
      <c r="E11" s="17">
        <v>1</v>
      </c>
      <c r="F11" s="7" t="s">
        <v>20</v>
      </c>
      <c r="G11" s="9">
        <f t="shared" ref="G11:G15" si="6">IF(E11&gt;D11,1,0)</f>
        <v>0</v>
      </c>
      <c r="H11" s="3"/>
      <c r="I11" s="16" t="s">
        <v>19</v>
      </c>
      <c r="J11" s="17">
        <f>3*L11+M11</f>
        <v>5</v>
      </c>
      <c r="K11" s="17">
        <f>SUMIF(C:C,I11,A:A)+SUMIF(F:F,I11,A:A)</f>
        <v>3</v>
      </c>
      <c r="L11" s="17">
        <f>SUMIF(C:C,I11,B:B)+SUMIF(F:F,I11,G:G)</f>
        <v>1</v>
      </c>
      <c r="M11" s="17">
        <f t="shared" ref="M11:M13" si="7">K11-(L11+N11)</f>
        <v>2</v>
      </c>
      <c r="N11" s="17">
        <f>SUMIF(C:C,I11,G:G)+SUMIF(F:F,I11,B:B)</f>
        <v>0</v>
      </c>
      <c r="O11" s="17">
        <f>SUMIF(C:C,I11,D:D)+SUMIF(F:F,I11,E:E)</f>
        <v>2</v>
      </c>
      <c r="P11" s="17">
        <f>SUMIF(C:C,I11,E:E)+SUMIF(F:F,I11,D:D)</f>
        <v>1</v>
      </c>
      <c r="Q11" s="18">
        <f t="shared" ref="Q11:Q13" si="8">O11-P11</f>
        <v>1</v>
      </c>
      <c r="R11" s="17">
        <f>J11*10000+(O11-P11)*100+O11</f>
        <v>50102</v>
      </c>
      <c r="S11" s="3"/>
      <c r="T11" s="6"/>
      <c r="U11" s="59" t="s">
        <v>67</v>
      </c>
      <c r="V11" s="60"/>
      <c r="W11" s="60"/>
      <c r="X11" s="61"/>
      <c r="Y11" s="6"/>
      <c r="Z11" s="3"/>
    </row>
    <row r="12" spans="1:26" x14ac:dyDescent="0.25">
      <c r="A12" s="3">
        <f t="shared" si="0"/>
        <v>1</v>
      </c>
      <c r="B12" s="8">
        <f t="shared" si="5"/>
        <v>0</v>
      </c>
      <c r="C12" s="10" t="s">
        <v>20</v>
      </c>
      <c r="D12" s="13">
        <v>0</v>
      </c>
      <c r="E12" s="13">
        <v>2</v>
      </c>
      <c r="F12" s="10" t="s">
        <v>18</v>
      </c>
      <c r="G12" s="9">
        <f t="shared" si="6"/>
        <v>1</v>
      </c>
      <c r="H12" s="3"/>
      <c r="I12" s="14" t="s">
        <v>18</v>
      </c>
      <c r="J12" s="13">
        <f>3*L12+M12</f>
        <v>3</v>
      </c>
      <c r="K12" s="13">
        <f>SUMIF(C:C,I12,A:A)+SUMIF(F:F,I12,A:A)</f>
        <v>3</v>
      </c>
      <c r="L12" s="13">
        <f>SUMIF(C:C,I12,B:B)+SUMIF(F:F,I12,G:G)</f>
        <v>1</v>
      </c>
      <c r="M12" s="13">
        <f t="shared" si="7"/>
        <v>0</v>
      </c>
      <c r="N12" s="13">
        <f>SUMIF(C:C,I12,G:G)+SUMIF(F:F,I12,B:B)</f>
        <v>2</v>
      </c>
      <c r="O12" s="13">
        <f>SUMIF(C:C,I12,D:D)+SUMIF(F:F,I12,E:E)</f>
        <v>4</v>
      </c>
      <c r="P12" s="13">
        <f>SUMIF(C:C,I12,E:E)+SUMIF(F:F,I12,D:D)</f>
        <v>7</v>
      </c>
      <c r="Q12" s="15">
        <f t="shared" si="8"/>
        <v>-3</v>
      </c>
      <c r="R12" s="13">
        <f>J12*10000+(O12-P12)*100+O12</f>
        <v>29704</v>
      </c>
      <c r="S12" s="3"/>
      <c r="T12" s="25" t="s">
        <v>68</v>
      </c>
      <c r="U12" s="37" t="str">
        <f>IF(V2&gt;W2,U2,X2)</f>
        <v>Paises Bajos</v>
      </c>
      <c r="V12" s="25">
        <v>4</v>
      </c>
      <c r="W12" s="25">
        <v>5</v>
      </c>
      <c r="X12" s="37" t="str">
        <f>IF(V3&gt;W3,U3,X3)</f>
        <v>Argentina</v>
      </c>
      <c r="Y12" s="26" t="s">
        <v>69</v>
      </c>
      <c r="Z12" s="34" t="s">
        <v>83</v>
      </c>
    </row>
    <row r="13" spans="1:26" x14ac:dyDescent="0.25">
      <c r="A13" s="3">
        <f t="shared" si="0"/>
        <v>1</v>
      </c>
      <c r="B13" s="8">
        <f t="shared" si="5"/>
        <v>0</v>
      </c>
      <c r="C13" s="7" t="s">
        <v>17</v>
      </c>
      <c r="D13" s="17">
        <v>0</v>
      </c>
      <c r="E13" s="17">
        <v>0</v>
      </c>
      <c r="F13" s="7" t="s">
        <v>19</v>
      </c>
      <c r="G13" s="9">
        <f t="shared" si="6"/>
        <v>0</v>
      </c>
      <c r="H13" s="3"/>
      <c r="I13" s="19" t="s">
        <v>20</v>
      </c>
      <c r="J13" s="17">
        <f>3*L13+M13</f>
        <v>1</v>
      </c>
      <c r="K13" s="17">
        <f>SUMIF(C:C,I13,A:A)+SUMIF(F:F,I13,A:A)</f>
        <v>3</v>
      </c>
      <c r="L13" s="17">
        <f>SUMIF(C:C,I13,B:B)+SUMIF(F:F,I13,G:G)</f>
        <v>0</v>
      </c>
      <c r="M13" s="17">
        <f t="shared" si="7"/>
        <v>1</v>
      </c>
      <c r="N13" s="17">
        <f>SUMIF(C:C,I13,G:G)+SUMIF(F:F,I13,B:B)</f>
        <v>2</v>
      </c>
      <c r="O13" s="17">
        <f>SUMIF(C:C,I13,D:D)+SUMIF(F:F,I13,E:E)</f>
        <v>1</v>
      </c>
      <c r="P13" s="17">
        <f>SUMIF(C:C,I13,E:E)+SUMIF(F:F,I13,D:D)</f>
        <v>6</v>
      </c>
      <c r="Q13" s="18">
        <f t="shared" si="8"/>
        <v>-5</v>
      </c>
      <c r="R13" s="17">
        <f>J13*10000+(O13-P13)*100+O13</f>
        <v>9501</v>
      </c>
      <c r="S13" s="3"/>
      <c r="T13" s="27" t="s">
        <v>72</v>
      </c>
      <c r="U13" s="35" t="str">
        <f>IF(V4&gt;W4,U4,X4)</f>
        <v>Inglaterra</v>
      </c>
      <c r="V13" s="27">
        <v>1</v>
      </c>
      <c r="W13" s="27">
        <v>2</v>
      </c>
      <c r="X13" s="35" t="str">
        <f>IF(V5&gt;W5,U5,X5)</f>
        <v>Francia</v>
      </c>
      <c r="Y13" s="28" t="s">
        <v>73</v>
      </c>
      <c r="Z13" s="3"/>
    </row>
    <row r="14" spans="1:26" ht="15.75" x14ac:dyDescent="0.25">
      <c r="A14" s="3">
        <f t="shared" si="0"/>
        <v>1</v>
      </c>
      <c r="B14" s="8">
        <f t="shared" si="5"/>
        <v>0</v>
      </c>
      <c r="C14" s="10" t="s">
        <v>18</v>
      </c>
      <c r="D14" s="13">
        <v>0</v>
      </c>
      <c r="E14" s="13">
        <v>1</v>
      </c>
      <c r="F14" s="10" t="s">
        <v>19</v>
      </c>
      <c r="G14" s="9">
        <f t="shared" si="6"/>
        <v>1</v>
      </c>
      <c r="H14" s="3"/>
      <c r="I14" s="2" t="str">
        <f>INDEX(I10:I13,MATCH(MAX(R10:R13),R10:R13,0))</f>
        <v>Inglaterra</v>
      </c>
      <c r="J14" s="49" t="s">
        <v>14</v>
      </c>
      <c r="K14" s="50"/>
      <c r="L14" s="3"/>
      <c r="M14" s="3"/>
      <c r="N14" s="3"/>
      <c r="O14" s="3"/>
      <c r="P14" s="3"/>
      <c r="Q14" s="3"/>
      <c r="R14" s="3"/>
      <c r="S14" s="3"/>
      <c r="T14" s="25" t="s">
        <v>74</v>
      </c>
      <c r="U14" s="37" t="str">
        <f>IF(V6&gt;W6,U6,X6)</f>
        <v>Croacia</v>
      </c>
      <c r="V14" s="25">
        <v>5</v>
      </c>
      <c r="W14" s="25">
        <v>3</v>
      </c>
      <c r="X14" s="37" t="str">
        <f>IF(V7&gt;W7,U7,X7)</f>
        <v>Brasil</v>
      </c>
      <c r="Y14" s="26" t="s">
        <v>75</v>
      </c>
      <c r="Z14" s="3"/>
    </row>
    <row r="15" spans="1:26" ht="15.75" x14ac:dyDescent="0.25">
      <c r="A15" s="3">
        <f t="shared" si="0"/>
        <v>1</v>
      </c>
      <c r="B15" s="8">
        <f t="shared" si="5"/>
        <v>0</v>
      </c>
      <c r="C15" s="7" t="s">
        <v>20</v>
      </c>
      <c r="D15" s="17">
        <v>0</v>
      </c>
      <c r="E15" s="17">
        <v>3</v>
      </c>
      <c r="F15" s="7" t="s">
        <v>17</v>
      </c>
      <c r="G15" s="8">
        <f t="shared" si="6"/>
        <v>1</v>
      </c>
      <c r="H15" s="3"/>
      <c r="I15" s="1" t="str">
        <f>INDEX(I10:I13,MATCH(LARGE(R10:R13,2),R10:R13,0))</f>
        <v>EEUU</v>
      </c>
      <c r="J15" s="45" t="s">
        <v>13</v>
      </c>
      <c r="K15" s="45"/>
      <c r="L15" s="3"/>
      <c r="M15" s="3"/>
      <c r="N15" s="3"/>
      <c r="O15" s="3"/>
      <c r="P15" s="3"/>
      <c r="Q15" s="3"/>
      <c r="R15" s="3"/>
      <c r="S15" s="3"/>
      <c r="T15" s="27" t="s">
        <v>76</v>
      </c>
      <c r="U15" s="35" t="str">
        <f>IF(V8&gt;W8,U8,X8)</f>
        <v>Marruecos</v>
      </c>
      <c r="V15" s="27">
        <v>1</v>
      </c>
      <c r="W15" s="27">
        <v>0</v>
      </c>
      <c r="X15" s="35" t="str">
        <f>IF(V9&gt;W9,U9,X9)</f>
        <v>Portugal</v>
      </c>
      <c r="Y15" s="28" t="s">
        <v>77</v>
      </c>
      <c r="Z15" s="3"/>
    </row>
    <row r="16" spans="1:26" ht="15.75" x14ac:dyDescent="0.25">
      <c r="A16" s="3"/>
      <c r="B16" s="4"/>
      <c r="C16" s="3"/>
      <c r="D16" s="3"/>
      <c r="E16" s="3"/>
      <c r="F16" s="3"/>
      <c r="G16" s="4"/>
      <c r="H16" s="3"/>
      <c r="I16" s="5"/>
      <c r="J16" s="55"/>
      <c r="K16" s="55"/>
      <c r="L16" s="3"/>
      <c r="M16" s="3"/>
      <c r="N16" s="3"/>
      <c r="O16" s="3"/>
      <c r="P16" s="3"/>
      <c r="Q16" s="3"/>
      <c r="R16" s="3"/>
      <c r="S16" s="3"/>
      <c r="T16" s="23"/>
      <c r="U16" s="23"/>
      <c r="V16" s="23"/>
      <c r="W16" s="23"/>
      <c r="X16" s="23"/>
      <c r="Y16" s="23"/>
      <c r="Z16" s="3"/>
    </row>
    <row r="17" spans="1:26" x14ac:dyDescent="0.25">
      <c r="A17" s="3"/>
      <c r="B17" s="4"/>
      <c r="C17" s="3"/>
      <c r="D17" s="3"/>
      <c r="E17" s="3"/>
      <c r="F17" s="3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4"/>
      <c r="C18" s="3"/>
      <c r="D18" s="3"/>
      <c r="E18" s="3"/>
      <c r="F18" s="3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x14ac:dyDescent="0.25">
      <c r="A19" s="3"/>
      <c r="B19" s="46" t="s">
        <v>16</v>
      </c>
      <c r="C19" s="47"/>
      <c r="D19" s="47"/>
      <c r="E19" s="47"/>
      <c r="F19" s="47"/>
      <c r="G19" s="48"/>
      <c r="H19" s="3"/>
      <c r="I19" s="20" t="s">
        <v>51</v>
      </c>
      <c r="J19" s="21" t="s">
        <v>9</v>
      </c>
      <c r="K19" s="21" t="s">
        <v>5</v>
      </c>
      <c r="L19" s="21" t="s">
        <v>6</v>
      </c>
      <c r="M19" s="21" t="s">
        <v>7</v>
      </c>
      <c r="N19" s="21" t="s">
        <v>8</v>
      </c>
      <c r="O19" s="21" t="s">
        <v>10</v>
      </c>
      <c r="P19" s="21" t="s">
        <v>11</v>
      </c>
      <c r="Q19" s="21" t="s">
        <v>50</v>
      </c>
      <c r="R19" s="21" t="s">
        <v>12</v>
      </c>
      <c r="S19" s="3"/>
      <c r="T19" s="3"/>
      <c r="U19" s="62" t="s">
        <v>78</v>
      </c>
      <c r="V19" s="63"/>
      <c r="W19" s="63"/>
      <c r="X19" s="64"/>
      <c r="Y19" s="8"/>
      <c r="Z19" s="3"/>
    </row>
    <row r="20" spans="1:26" x14ac:dyDescent="0.25">
      <c r="A20" s="3">
        <f t="shared" ref="A20:A25" si="9">IF(ISBLANK(D20),0,1)</f>
        <v>1</v>
      </c>
      <c r="B20" s="8">
        <f>IF(D20&gt;E20,1,0)</f>
        <v>0</v>
      </c>
      <c r="C20" s="10" t="s">
        <v>21</v>
      </c>
      <c r="D20" s="11">
        <v>1</v>
      </c>
      <c r="E20" s="11">
        <v>2</v>
      </c>
      <c r="F20" s="12" t="s">
        <v>22</v>
      </c>
      <c r="G20" s="9">
        <f>IF(E20&gt;D20,1,0)</f>
        <v>1</v>
      </c>
      <c r="H20" s="3"/>
      <c r="I20" s="14" t="s">
        <v>21</v>
      </c>
      <c r="J20" s="13">
        <f>3*L20+M20</f>
        <v>6</v>
      </c>
      <c r="K20" s="13">
        <f>SUMIF(C:C,I20,A:A)+SUMIF(F:F,I20,A:A)</f>
        <v>3</v>
      </c>
      <c r="L20" s="13">
        <f>SUMIF(C:C,I20,B:B)+SUMIF(F:F,I20,G:G)</f>
        <v>2</v>
      </c>
      <c r="M20" s="13">
        <f>K20-(L20+N20)</f>
        <v>0</v>
      </c>
      <c r="N20" s="13">
        <f>SUMIF(C:C,I20,G:G)+SUMIF(F:F,I20,B:B)</f>
        <v>1</v>
      </c>
      <c r="O20" s="13">
        <f>SUMIF(C:C,I20,D:D)+SUMIF(F:F,I20,E:E)</f>
        <v>5</v>
      </c>
      <c r="P20" s="13">
        <f>SUMIF(C:C,I20,E:E)+SUMIF(F:F,I20,D:D)</f>
        <v>2</v>
      </c>
      <c r="Q20" s="15">
        <f>O20-P20</f>
        <v>3</v>
      </c>
      <c r="R20" s="13">
        <f>J20*10000+(O20-P20)*100+O20</f>
        <v>60305</v>
      </c>
      <c r="S20" s="3"/>
      <c r="T20" s="33" t="s">
        <v>79</v>
      </c>
      <c r="U20" s="35" t="str">
        <f>IF(V12&gt;W12,U12,X12)</f>
        <v>Argentina</v>
      </c>
      <c r="V20" s="28">
        <v>3</v>
      </c>
      <c r="W20" s="28">
        <v>0</v>
      </c>
      <c r="X20" s="35" t="str">
        <f>IF(V14&gt;W14,U14,X14)</f>
        <v>Croacia</v>
      </c>
      <c r="Y20" s="33" t="s">
        <v>80</v>
      </c>
      <c r="Z20" s="3"/>
    </row>
    <row r="21" spans="1:26" x14ac:dyDescent="0.25">
      <c r="A21" s="3">
        <f t="shared" si="9"/>
        <v>1</v>
      </c>
      <c r="B21" s="8">
        <f t="shared" ref="B21:B25" si="10">IF(D21&gt;E21,1,0)</f>
        <v>0</v>
      </c>
      <c r="C21" s="7" t="s">
        <v>23</v>
      </c>
      <c r="D21" s="17">
        <v>0</v>
      </c>
      <c r="E21" s="17">
        <v>0</v>
      </c>
      <c r="F21" s="7" t="s">
        <v>24</v>
      </c>
      <c r="G21" s="9">
        <f t="shared" ref="G21:G25" si="11">IF(E21&gt;D21,1,0)</f>
        <v>0</v>
      </c>
      <c r="H21" s="3"/>
      <c r="I21" s="16" t="s">
        <v>24</v>
      </c>
      <c r="J21" s="17">
        <f>3*L21+M21</f>
        <v>4</v>
      </c>
      <c r="K21" s="17">
        <f>SUMIF(C:C,I21,A:A)+SUMIF(F:F,I21,A:A)</f>
        <v>3</v>
      </c>
      <c r="L21" s="17">
        <f>SUMIF(C:C,I21,B:B)+SUMIF(F:F,I21,G:G)</f>
        <v>1</v>
      </c>
      <c r="M21" s="17">
        <f t="shared" ref="M21:M23" si="12">K21-(L21+N21)</f>
        <v>1</v>
      </c>
      <c r="N21" s="17">
        <f>SUMIF(C:C,I21,G:G)+SUMIF(F:F,I21,B:B)</f>
        <v>1</v>
      </c>
      <c r="O21" s="17">
        <f>SUMIF(C:C,I21,D:D)+SUMIF(F:F,I21,E:E)</f>
        <v>2</v>
      </c>
      <c r="P21" s="17">
        <f>SUMIF(C:C,I21,E:E)+SUMIF(F:F,I21,D:D)</f>
        <v>2</v>
      </c>
      <c r="Q21" s="18">
        <f>O21-P21</f>
        <v>0</v>
      </c>
      <c r="R21" s="17">
        <f>J21*10000+(O21-P21)*100+O21</f>
        <v>40002</v>
      </c>
      <c r="S21" s="3"/>
      <c r="T21" s="32" t="s">
        <v>81</v>
      </c>
      <c r="U21" s="36" t="str">
        <f>IF(V13&gt;W13,U13,X13)</f>
        <v>Francia</v>
      </c>
      <c r="V21" s="39">
        <v>2</v>
      </c>
      <c r="W21" s="39">
        <v>0</v>
      </c>
      <c r="X21" s="36" t="str">
        <f>IF(V15&gt;W15,U15,X15)</f>
        <v>Marruecos</v>
      </c>
      <c r="Y21" s="32" t="s">
        <v>82</v>
      </c>
      <c r="Z21" s="3"/>
    </row>
    <row r="22" spans="1:26" x14ac:dyDescent="0.25">
      <c r="A22" s="3">
        <f t="shared" si="9"/>
        <v>1</v>
      </c>
      <c r="B22" s="8">
        <f t="shared" si="10"/>
        <v>1</v>
      </c>
      <c r="C22" s="10" t="s">
        <v>24</v>
      </c>
      <c r="D22" s="13">
        <v>2</v>
      </c>
      <c r="E22" s="13">
        <v>0</v>
      </c>
      <c r="F22" s="10" t="s">
        <v>22</v>
      </c>
      <c r="G22" s="9">
        <f t="shared" si="11"/>
        <v>0</v>
      </c>
      <c r="H22" s="3"/>
      <c r="I22" s="14" t="s">
        <v>23</v>
      </c>
      <c r="J22" s="13">
        <f>3*L22+M22</f>
        <v>4</v>
      </c>
      <c r="K22" s="13">
        <f>SUMIF(C:C,I22,A:A)+SUMIF(F:F,I22,A:A)</f>
        <v>3</v>
      </c>
      <c r="L22" s="13">
        <f>SUMIF(C:C,I22,B:B)+SUMIF(F:F,I22,G:G)</f>
        <v>1</v>
      </c>
      <c r="M22" s="13">
        <f t="shared" si="12"/>
        <v>1</v>
      </c>
      <c r="N22" s="13">
        <f>SUMIF(C:C,I22,G:G)+SUMIF(F:F,I22,B:B)</f>
        <v>1</v>
      </c>
      <c r="O22" s="13">
        <f>SUMIF(C:C,I22,D:D)+SUMIF(F:F,I22,E:E)</f>
        <v>2</v>
      </c>
      <c r="P22" s="13">
        <f>SUMIF(C:C,I22,E:E)+SUMIF(F:F,I22,D:D)</f>
        <v>3</v>
      </c>
      <c r="Q22" s="15">
        <f>O22-P22</f>
        <v>-1</v>
      </c>
      <c r="R22" s="13">
        <f>J22*10000+(O22-P22)*100+O22</f>
        <v>39902</v>
      </c>
      <c r="S22" s="3"/>
      <c r="T22" s="30"/>
      <c r="U22" s="31"/>
      <c r="V22" s="31"/>
      <c r="W22" s="31"/>
      <c r="X22" s="31"/>
      <c r="Y22" s="31"/>
      <c r="Z22" s="3"/>
    </row>
    <row r="23" spans="1:26" x14ac:dyDescent="0.25">
      <c r="A23" s="3">
        <f t="shared" si="9"/>
        <v>1</v>
      </c>
      <c r="B23" s="8">
        <f t="shared" si="10"/>
        <v>1</v>
      </c>
      <c r="C23" s="7" t="s">
        <v>21</v>
      </c>
      <c r="D23" s="17">
        <v>2</v>
      </c>
      <c r="E23" s="17">
        <v>0</v>
      </c>
      <c r="F23" s="7" t="s">
        <v>23</v>
      </c>
      <c r="G23" s="9">
        <f t="shared" si="11"/>
        <v>0</v>
      </c>
      <c r="H23" s="3"/>
      <c r="I23" s="19" t="s">
        <v>22</v>
      </c>
      <c r="J23" s="17">
        <f>3*L23+M23</f>
        <v>3</v>
      </c>
      <c r="K23" s="17">
        <f>SUMIF(C:C,I23,A:A)+SUMIF(F:F,I23,A:A)</f>
        <v>3</v>
      </c>
      <c r="L23" s="17">
        <f>SUMIF(C:C,I23,B:B)+SUMIF(F:F,I23,G:G)</f>
        <v>1</v>
      </c>
      <c r="M23" s="17">
        <f t="shared" si="12"/>
        <v>0</v>
      </c>
      <c r="N23" s="17">
        <f>SUMIF(C:C,I23,G:G)+SUMIF(F:F,I23,B:B)</f>
        <v>2</v>
      </c>
      <c r="O23" s="17">
        <f>SUMIF(C:C,I23,D:D)+SUMIF(F:F,I23,E:E)</f>
        <v>3</v>
      </c>
      <c r="P23" s="17">
        <f>SUMIF(C:C,I23,E:E)+SUMIF(F:F,I23,D:D)</f>
        <v>5</v>
      </c>
      <c r="Q23" s="18">
        <f>O23-P23</f>
        <v>-2</v>
      </c>
      <c r="R23" s="17">
        <f>J23*10000+(O23-P23)*100+O23</f>
        <v>29803</v>
      </c>
      <c r="S23" s="3"/>
      <c r="T23" s="3"/>
      <c r="U23" s="3"/>
      <c r="V23" s="3"/>
      <c r="W23" s="3"/>
      <c r="X23" s="3"/>
      <c r="Y23" s="3"/>
      <c r="Z23" s="3"/>
    </row>
    <row r="24" spans="1:26" ht="15.75" x14ac:dyDescent="0.25">
      <c r="A24" s="3">
        <f t="shared" si="9"/>
        <v>1</v>
      </c>
      <c r="B24" s="8">
        <f t="shared" si="10"/>
        <v>0</v>
      </c>
      <c r="C24" s="10" t="s">
        <v>24</v>
      </c>
      <c r="D24" s="13">
        <v>0</v>
      </c>
      <c r="E24" s="13">
        <v>2</v>
      </c>
      <c r="F24" s="10" t="s">
        <v>21</v>
      </c>
      <c r="G24" s="9">
        <f t="shared" si="11"/>
        <v>1</v>
      </c>
      <c r="H24" s="3"/>
      <c r="I24" s="2" t="str">
        <f>INDEX(I20:I23,MATCH(MAX(R20:R23),R20:R23,0))</f>
        <v>Argentina</v>
      </c>
      <c r="J24" s="49" t="s">
        <v>14</v>
      </c>
      <c r="K24" s="50"/>
      <c r="L24" s="3"/>
      <c r="M24" s="3"/>
      <c r="N24" s="3"/>
      <c r="O24" s="3"/>
      <c r="P24" s="3"/>
      <c r="Q24" s="3"/>
      <c r="R24" s="3"/>
      <c r="S24" s="3"/>
      <c r="T24" s="23"/>
      <c r="U24" s="65" t="s">
        <v>86</v>
      </c>
      <c r="V24" s="66"/>
      <c r="W24" s="66"/>
      <c r="X24" s="67"/>
      <c r="Y24" s="6"/>
      <c r="Z24" s="3"/>
    </row>
    <row r="25" spans="1:26" ht="15.75" x14ac:dyDescent="0.25">
      <c r="A25" s="3">
        <f t="shared" si="9"/>
        <v>1</v>
      </c>
      <c r="B25" s="8">
        <f t="shared" si="10"/>
        <v>0</v>
      </c>
      <c r="C25" s="7" t="s">
        <v>22</v>
      </c>
      <c r="D25" s="17">
        <v>1</v>
      </c>
      <c r="E25" s="17">
        <v>2</v>
      </c>
      <c r="F25" s="7" t="s">
        <v>23</v>
      </c>
      <c r="G25" s="8">
        <f t="shared" si="11"/>
        <v>1</v>
      </c>
      <c r="H25" s="3"/>
      <c r="I25" s="1" t="str">
        <f>INDEX(I20:I23,MATCH(LARGE(R20:R23,2),R20:R23,0))</f>
        <v>Polonia</v>
      </c>
      <c r="J25" s="45" t="s">
        <v>13</v>
      </c>
      <c r="K25" s="45"/>
      <c r="L25" s="3"/>
      <c r="M25" s="3"/>
      <c r="N25" s="3"/>
      <c r="O25" s="3"/>
      <c r="P25" s="3"/>
      <c r="Q25" s="3"/>
      <c r="R25" s="3"/>
      <c r="S25" s="3"/>
      <c r="T25" s="23"/>
      <c r="U25" s="36" t="str">
        <f>IF(V20&lt;W20,U20,X20)</f>
        <v>Croacia</v>
      </c>
      <c r="V25" s="68"/>
      <c r="W25" s="68"/>
      <c r="X25" s="36" t="str">
        <f>IF(V21&lt;W21,U21,X21)</f>
        <v>Marruecos</v>
      </c>
      <c r="Y25" s="6"/>
      <c r="Z25" s="3"/>
    </row>
    <row r="26" spans="1:26" x14ac:dyDescent="0.25">
      <c r="A26" s="3"/>
      <c r="B26" s="4"/>
      <c r="C26" s="3"/>
      <c r="D26" s="3"/>
      <c r="E26" s="3"/>
      <c r="F26" s="3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4"/>
      <c r="C27" s="3"/>
      <c r="D27" s="3"/>
      <c r="E27" s="3"/>
      <c r="F27" s="3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x14ac:dyDescent="0.25">
      <c r="A28" s="3"/>
      <c r="B28" s="46" t="s">
        <v>25</v>
      </c>
      <c r="C28" s="47"/>
      <c r="D28" s="47"/>
      <c r="E28" s="47"/>
      <c r="F28" s="47"/>
      <c r="G28" s="48"/>
      <c r="H28" s="3"/>
      <c r="I28" s="20" t="s">
        <v>51</v>
      </c>
      <c r="J28" s="21" t="s">
        <v>9</v>
      </c>
      <c r="K28" s="21" t="s">
        <v>5</v>
      </c>
      <c r="L28" s="21" t="s">
        <v>6</v>
      </c>
      <c r="M28" s="21" t="s">
        <v>7</v>
      </c>
      <c r="N28" s="21" t="s">
        <v>8</v>
      </c>
      <c r="O28" s="21" t="s">
        <v>10</v>
      </c>
      <c r="P28" s="21" t="s">
        <v>11</v>
      </c>
      <c r="Q28" s="21" t="s">
        <v>50</v>
      </c>
      <c r="R28" s="21" t="s">
        <v>12</v>
      </c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>
        <f t="shared" ref="A29:A34" si="13">IF(ISBLANK(D29),0,1)</f>
        <v>1</v>
      </c>
      <c r="B29" s="8">
        <f>IF(D29&gt;E29,1,0)</f>
        <v>0</v>
      </c>
      <c r="C29" s="10" t="s">
        <v>30</v>
      </c>
      <c r="D29" s="11">
        <v>0</v>
      </c>
      <c r="E29" s="11">
        <v>0</v>
      </c>
      <c r="F29" s="12" t="s">
        <v>31</v>
      </c>
      <c r="G29" s="9">
        <f>IF(E29&gt;D29,1,0)</f>
        <v>0</v>
      </c>
      <c r="H29" s="3"/>
      <c r="I29" s="14" t="s">
        <v>32</v>
      </c>
      <c r="J29" s="13">
        <f>3*L29+M29</f>
        <v>6</v>
      </c>
      <c r="K29" s="13">
        <f>SUMIF(C:C,I29,A:A)+SUMIF(F:F,I29,A:A)</f>
        <v>3</v>
      </c>
      <c r="L29" s="13">
        <f>SUMIF(C:C,I29,B:B)+SUMIF(F:F,I29,G:G)</f>
        <v>2</v>
      </c>
      <c r="M29" s="13">
        <f>K29-(L29+N29)</f>
        <v>0</v>
      </c>
      <c r="N29" s="13">
        <f>SUMIF(C:C,I29,G:G)+SUMIF(F:F,I29,B:B)</f>
        <v>1</v>
      </c>
      <c r="O29" s="13">
        <f>SUMIF(C:C,I29,D:D)+SUMIF(F:F,I29,E:E)</f>
        <v>6</v>
      </c>
      <c r="P29" s="13">
        <f>SUMIF(C:C,I29,E:E)+SUMIF(F:F,I29,D:D)</f>
        <v>3</v>
      </c>
      <c r="Q29" s="15">
        <f>O29-P29</f>
        <v>3</v>
      </c>
      <c r="R29" s="13">
        <f>J29*10000+(O29-P29)*100+O29</f>
        <v>60306</v>
      </c>
      <c r="S29" s="3"/>
      <c r="T29" s="6"/>
      <c r="U29" s="42" t="s">
        <v>87</v>
      </c>
      <c r="V29" s="43"/>
      <c r="W29" s="43"/>
      <c r="X29" s="44"/>
      <c r="Y29" s="6"/>
      <c r="Z29" s="3"/>
    </row>
    <row r="30" spans="1:26" x14ac:dyDescent="0.25">
      <c r="A30" s="3">
        <f t="shared" si="13"/>
        <v>1</v>
      </c>
      <c r="B30" s="8">
        <f t="shared" ref="B30:B34" si="14">IF(D30&gt;E30,1,0)</f>
        <v>1</v>
      </c>
      <c r="C30" s="7" t="s">
        <v>32</v>
      </c>
      <c r="D30" s="17">
        <v>4</v>
      </c>
      <c r="E30" s="17">
        <v>1</v>
      </c>
      <c r="F30" s="7" t="s">
        <v>33</v>
      </c>
      <c r="G30" s="9">
        <f t="shared" ref="G30:G34" si="15">IF(E30&gt;D30,1,0)</f>
        <v>0</v>
      </c>
      <c r="H30" s="3"/>
      <c r="I30" s="16" t="s">
        <v>33</v>
      </c>
      <c r="J30" s="17">
        <f>3*L30+M30</f>
        <v>6</v>
      </c>
      <c r="K30" s="17">
        <f>SUMIF(C:C,I30,A:A)+SUMIF(F:F,I30,A:A)</f>
        <v>3</v>
      </c>
      <c r="L30" s="17">
        <f>SUMIF(C:C,I30,B:B)+SUMIF(F:F,I30,G:G)</f>
        <v>2</v>
      </c>
      <c r="M30" s="17">
        <f t="shared" ref="M30:M32" si="16">K30-(L30+N30)</f>
        <v>0</v>
      </c>
      <c r="N30" s="17">
        <f>SUMIF(C:C,I30,G:G)+SUMIF(F:F,I30,B:B)</f>
        <v>1</v>
      </c>
      <c r="O30" s="17">
        <f>SUMIF(C:C,I30,D:D)+SUMIF(F:F,I30,E:E)</f>
        <v>3</v>
      </c>
      <c r="P30" s="17">
        <f>SUMIF(C:C,I30,E:E)+SUMIF(F:F,I30,D:D)</f>
        <v>4</v>
      </c>
      <c r="Q30" s="18">
        <f t="shared" ref="Q30:Q32" si="17">O30-P30</f>
        <v>-1</v>
      </c>
      <c r="R30" s="17">
        <f>J30*10000+(O30-P30)*100+O30</f>
        <v>59903</v>
      </c>
      <c r="S30" s="3"/>
      <c r="T30" s="6"/>
      <c r="U30" s="40" t="str">
        <f>IF(V20&gt;W20,U20,X20)</f>
        <v>Argentina</v>
      </c>
      <c r="V30" s="41"/>
      <c r="W30" s="41"/>
      <c r="X30" s="40" t="str">
        <f>IF(V21&gt;W21,U21,X21)</f>
        <v>Francia</v>
      </c>
      <c r="Y30" s="6"/>
      <c r="Z30" s="3"/>
    </row>
    <row r="31" spans="1:26" x14ac:dyDescent="0.25">
      <c r="A31" s="3">
        <f t="shared" si="13"/>
        <v>1</v>
      </c>
      <c r="B31" s="8">
        <f t="shared" si="14"/>
        <v>0</v>
      </c>
      <c r="C31" s="10" t="s">
        <v>31</v>
      </c>
      <c r="D31" s="13">
        <v>0</v>
      </c>
      <c r="E31" s="13">
        <v>1</v>
      </c>
      <c r="F31" s="10" t="s">
        <v>33</v>
      </c>
      <c r="G31" s="9">
        <f t="shared" si="15"/>
        <v>1</v>
      </c>
      <c r="H31" s="3"/>
      <c r="I31" s="14" t="s">
        <v>31</v>
      </c>
      <c r="J31" s="13">
        <f>3*L31+M31</f>
        <v>4</v>
      </c>
      <c r="K31" s="13">
        <f>SUMIF(C:C,I31,A:A)+SUMIF(F:F,I31,A:A)</f>
        <v>3</v>
      </c>
      <c r="L31" s="13">
        <f>SUMIF(C:C,I31,B:B)+SUMIF(F:F,I31,G:G)</f>
        <v>1</v>
      </c>
      <c r="M31" s="13">
        <f t="shared" si="16"/>
        <v>1</v>
      </c>
      <c r="N31" s="13">
        <f>SUMIF(C:C,I31,G:G)+SUMIF(F:F,I31,B:B)</f>
        <v>1</v>
      </c>
      <c r="O31" s="13">
        <f>SUMIF(C:C,I31,D:D)+SUMIF(F:F,I31,E:E)</f>
        <v>1</v>
      </c>
      <c r="P31" s="13">
        <f>SUMIF(C:C,I31,E:E)+SUMIF(F:F,I31,D:D)</f>
        <v>1</v>
      </c>
      <c r="Q31" s="15">
        <f t="shared" si="17"/>
        <v>0</v>
      </c>
      <c r="R31" s="13">
        <f>J31*10000+(O31-P31)*100+O31</f>
        <v>40001</v>
      </c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>
        <f t="shared" si="13"/>
        <v>1</v>
      </c>
      <c r="B32" s="8">
        <f t="shared" si="14"/>
        <v>1</v>
      </c>
      <c r="C32" s="7" t="s">
        <v>32</v>
      </c>
      <c r="D32" s="17">
        <v>2</v>
      </c>
      <c r="E32" s="17">
        <v>1</v>
      </c>
      <c r="F32" s="7" t="s">
        <v>30</v>
      </c>
      <c r="G32" s="9">
        <f t="shared" si="15"/>
        <v>0</v>
      </c>
      <c r="H32" s="3"/>
      <c r="I32" s="19" t="s">
        <v>30</v>
      </c>
      <c r="J32" s="17">
        <f>3*L32+M32</f>
        <v>1</v>
      </c>
      <c r="K32" s="17">
        <f>SUMIF(C:C,I32,A:A)+SUMIF(F:F,I32,A:A)</f>
        <v>3</v>
      </c>
      <c r="L32" s="17">
        <f>SUMIF(C:C,I32,B:B)+SUMIF(F:F,I32,G:G)</f>
        <v>0</v>
      </c>
      <c r="M32" s="17">
        <f t="shared" si="16"/>
        <v>1</v>
      </c>
      <c r="N32" s="17">
        <f>SUMIF(C:C,I32,G:G)+SUMIF(F:F,I32,B:B)</f>
        <v>2</v>
      </c>
      <c r="O32" s="17">
        <f>SUMIF(C:C,I32,D:D)+SUMIF(F:F,I32,E:E)</f>
        <v>1</v>
      </c>
      <c r="P32" s="17">
        <f>SUMIF(C:C,I32,E:E)+SUMIF(F:F,I32,D:D)</f>
        <v>3</v>
      </c>
      <c r="Q32" s="18">
        <f t="shared" si="17"/>
        <v>-2</v>
      </c>
      <c r="R32" s="17">
        <f>J32*10000+(O32-P32)*100+O32</f>
        <v>9801</v>
      </c>
      <c r="S32" s="3"/>
      <c r="T32" s="3"/>
      <c r="U32" s="3"/>
      <c r="V32" s="3"/>
      <c r="W32" s="3"/>
      <c r="X32" s="3"/>
      <c r="Y32" s="3"/>
      <c r="Z32" s="3"/>
    </row>
    <row r="33" spans="1:26" ht="15.75" x14ac:dyDescent="0.25">
      <c r="A33" s="3">
        <f t="shared" si="13"/>
        <v>1</v>
      </c>
      <c r="B33" s="8">
        <f t="shared" si="14"/>
        <v>1</v>
      </c>
      <c r="C33" s="10" t="s">
        <v>31</v>
      </c>
      <c r="D33" s="13">
        <v>1</v>
      </c>
      <c r="E33" s="13">
        <v>0</v>
      </c>
      <c r="F33" s="10" t="s">
        <v>32</v>
      </c>
      <c r="G33" s="9">
        <f t="shared" si="15"/>
        <v>0</v>
      </c>
      <c r="H33" s="3"/>
      <c r="I33" s="2" t="str">
        <f>INDEX(I29:I32,MATCH(MAX(R29:R32),R29:R32,0))</f>
        <v>Francia</v>
      </c>
      <c r="J33" s="49" t="s">
        <v>14</v>
      </c>
      <c r="K33" s="50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x14ac:dyDescent="0.25">
      <c r="A34" s="3">
        <f t="shared" si="13"/>
        <v>1</v>
      </c>
      <c r="B34" s="8">
        <f t="shared" si="14"/>
        <v>1</v>
      </c>
      <c r="C34" s="7" t="s">
        <v>33</v>
      </c>
      <c r="D34" s="17">
        <v>1</v>
      </c>
      <c r="E34" s="17">
        <v>0</v>
      </c>
      <c r="F34" s="7" t="s">
        <v>30</v>
      </c>
      <c r="G34" s="8">
        <f t="shared" si="15"/>
        <v>0</v>
      </c>
      <c r="H34" s="3"/>
      <c r="I34" s="1" t="str">
        <f>INDEX(I29:I32,MATCH(LARGE(R29:R32,2),R29:R32,0))</f>
        <v>Australia</v>
      </c>
      <c r="J34" s="45" t="s">
        <v>13</v>
      </c>
      <c r="K34" s="45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x14ac:dyDescent="0.25">
      <c r="A37" s="3"/>
      <c r="B37" s="46" t="s">
        <v>26</v>
      </c>
      <c r="C37" s="47"/>
      <c r="D37" s="47"/>
      <c r="E37" s="47"/>
      <c r="F37" s="47"/>
      <c r="G37" s="48"/>
      <c r="H37" s="3"/>
      <c r="I37" s="20" t="s">
        <v>51</v>
      </c>
      <c r="J37" s="21" t="s">
        <v>9</v>
      </c>
      <c r="K37" s="21" t="s">
        <v>5</v>
      </c>
      <c r="L37" s="21" t="s">
        <v>6</v>
      </c>
      <c r="M37" s="21" t="s">
        <v>7</v>
      </c>
      <c r="N37" s="21" t="s">
        <v>8</v>
      </c>
      <c r="O37" s="21" t="s">
        <v>10</v>
      </c>
      <c r="P37" s="21" t="s">
        <v>11</v>
      </c>
      <c r="Q37" s="21" t="s">
        <v>50</v>
      </c>
      <c r="R37" s="21" t="s">
        <v>12</v>
      </c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>
        <f t="shared" ref="A38:A43" si="18">IF(ISBLANK(D38),0,1)</f>
        <v>1</v>
      </c>
      <c r="B38" s="8">
        <f>IF(D38&gt;E38,1,0)</f>
        <v>0</v>
      </c>
      <c r="C38" s="10" t="s">
        <v>34</v>
      </c>
      <c r="D38" s="11">
        <v>1</v>
      </c>
      <c r="E38" s="11">
        <v>2</v>
      </c>
      <c r="F38" s="12" t="s">
        <v>35</v>
      </c>
      <c r="G38" s="9">
        <f>IF(E38&gt;D38,1,0)</f>
        <v>1</v>
      </c>
      <c r="H38" s="3"/>
      <c r="I38" s="14" t="s">
        <v>35</v>
      </c>
      <c r="J38" s="13">
        <f>3*L38+M38</f>
        <v>6</v>
      </c>
      <c r="K38" s="13">
        <f>SUMIF(C:C,I38,A:A)+SUMIF(F:F,I38,A:A)</f>
        <v>3</v>
      </c>
      <c r="L38" s="13">
        <f>SUMIF(C:C,I38,B:B)+SUMIF(F:F,I38,G:G)</f>
        <v>2</v>
      </c>
      <c r="M38" s="13">
        <f>K38-(L38+N38)</f>
        <v>0</v>
      </c>
      <c r="N38" s="13">
        <f>SUMIF(C:C,I38,G:G)+SUMIF(F:F,I38,B:B)</f>
        <v>1</v>
      </c>
      <c r="O38" s="13">
        <f>SUMIF(C:C,I38,D:D)+SUMIF(F:F,I38,E:E)</f>
        <v>4</v>
      </c>
      <c r="P38" s="13">
        <f>SUMIF(C:C,I38,E:E)+SUMIF(F:F,I38,D:D)</f>
        <v>3</v>
      </c>
      <c r="Q38" s="15">
        <f>O38-P38</f>
        <v>1</v>
      </c>
      <c r="R38" s="13">
        <f>J38*10000+(O38-P38)*100+O38</f>
        <v>60104</v>
      </c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>
        <f t="shared" si="18"/>
        <v>1</v>
      </c>
      <c r="B39" s="8">
        <f t="shared" ref="B39:B43" si="19">IF(D39&gt;E39,1,0)</f>
        <v>1</v>
      </c>
      <c r="C39" s="7" t="s">
        <v>36</v>
      </c>
      <c r="D39" s="17">
        <v>7</v>
      </c>
      <c r="E39" s="17">
        <v>0</v>
      </c>
      <c r="F39" s="7" t="s">
        <v>37</v>
      </c>
      <c r="G39" s="9">
        <f t="shared" ref="G39:G43" si="20">IF(E39&gt;D39,1,0)</f>
        <v>0</v>
      </c>
      <c r="H39" s="3"/>
      <c r="I39" s="16" t="s">
        <v>36</v>
      </c>
      <c r="J39" s="17">
        <f>3*L39+M39</f>
        <v>4</v>
      </c>
      <c r="K39" s="17">
        <f>SUMIF(C:C,I39,A:A)+SUMIF(F:F,I39,A:A)</f>
        <v>3</v>
      </c>
      <c r="L39" s="17">
        <f>SUMIF(C:C,I39,B:B)+SUMIF(F:F,I39,G:G)</f>
        <v>1</v>
      </c>
      <c r="M39" s="17">
        <f t="shared" ref="M39:M41" si="21">K39-(L39+N39)</f>
        <v>1</v>
      </c>
      <c r="N39" s="17">
        <f>SUMIF(C:C,I39,G:G)+SUMIF(F:F,I39,B:B)</f>
        <v>1</v>
      </c>
      <c r="O39" s="17">
        <f>SUMIF(C:C,I39,D:D)+SUMIF(F:F,I39,E:E)</f>
        <v>9</v>
      </c>
      <c r="P39" s="17">
        <f>SUMIF(C:C,I39,E:E)+SUMIF(F:F,I39,D:D)</f>
        <v>3</v>
      </c>
      <c r="Q39" s="18">
        <f>O39-P39</f>
        <v>6</v>
      </c>
      <c r="R39" s="17">
        <f>J39*10000+(O39-P39)*100+O39</f>
        <v>40609</v>
      </c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>
        <f t="shared" si="18"/>
        <v>1</v>
      </c>
      <c r="B40" s="8">
        <f t="shared" si="19"/>
        <v>0</v>
      </c>
      <c r="C40" s="10" t="s">
        <v>35</v>
      </c>
      <c r="D40" s="13">
        <v>0</v>
      </c>
      <c r="E40" s="13">
        <v>1</v>
      </c>
      <c r="F40" s="10" t="s">
        <v>37</v>
      </c>
      <c r="G40" s="9">
        <f t="shared" si="20"/>
        <v>1</v>
      </c>
      <c r="H40" s="3"/>
      <c r="I40" s="14" t="s">
        <v>34</v>
      </c>
      <c r="J40" s="13">
        <f>3*L40+M40</f>
        <v>4</v>
      </c>
      <c r="K40" s="13">
        <f>SUMIF(C:C,I40,A:A)+SUMIF(F:F,I40,A:A)</f>
        <v>3</v>
      </c>
      <c r="L40" s="13">
        <f>SUMIF(C:C,I40,B:B)+SUMIF(F:F,I40,G:G)</f>
        <v>1</v>
      </c>
      <c r="M40" s="13">
        <f t="shared" si="21"/>
        <v>1</v>
      </c>
      <c r="N40" s="13">
        <f>SUMIF(C:C,I40,G:G)+SUMIF(F:F,I40,B:B)</f>
        <v>1</v>
      </c>
      <c r="O40" s="13">
        <f>SUMIF(C:C,I40,D:D)+SUMIF(F:F,I40,E:E)</f>
        <v>6</v>
      </c>
      <c r="P40" s="13">
        <f>SUMIF(C:C,I40,E:E)+SUMIF(F:F,I40,D:D)</f>
        <v>5</v>
      </c>
      <c r="Q40" s="15">
        <f>O40-P40</f>
        <v>1</v>
      </c>
      <c r="R40" s="13">
        <f>J40*10000+(O40-P40)*100+O40</f>
        <v>40106</v>
      </c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>
        <f t="shared" si="18"/>
        <v>1</v>
      </c>
      <c r="B41" s="8">
        <f t="shared" si="19"/>
        <v>0</v>
      </c>
      <c r="C41" s="7" t="s">
        <v>36</v>
      </c>
      <c r="D41" s="17">
        <v>1</v>
      </c>
      <c r="E41" s="17">
        <v>1</v>
      </c>
      <c r="F41" s="7" t="s">
        <v>34</v>
      </c>
      <c r="G41" s="9">
        <f t="shared" si="20"/>
        <v>0</v>
      </c>
      <c r="H41" s="3"/>
      <c r="I41" s="19" t="s">
        <v>37</v>
      </c>
      <c r="J41" s="17">
        <f>3*L41+M41</f>
        <v>3</v>
      </c>
      <c r="K41" s="17">
        <f>SUMIF(C:C,I41,A:A)+SUMIF(F:F,I41,A:A)</f>
        <v>3</v>
      </c>
      <c r="L41" s="17">
        <f>SUMIF(C:C,I41,B:B)+SUMIF(F:F,I41,G:G)</f>
        <v>1</v>
      </c>
      <c r="M41" s="17">
        <f t="shared" si="21"/>
        <v>0</v>
      </c>
      <c r="N41" s="17">
        <f>SUMIF(C:C,I41,G:G)+SUMIF(F:F,I41,B:B)</f>
        <v>2</v>
      </c>
      <c r="O41" s="17">
        <f>SUMIF(C:C,I41,D:D)+SUMIF(F:F,I41,E:E)</f>
        <v>3</v>
      </c>
      <c r="P41" s="17">
        <f>SUMIF(C:C,I41,E:E)+SUMIF(F:F,I41,D:D)</f>
        <v>11</v>
      </c>
      <c r="Q41" s="18">
        <f>O41-P41</f>
        <v>-8</v>
      </c>
      <c r="R41" s="17">
        <f>J41*10000+(O41-P41)*100+O41</f>
        <v>29203</v>
      </c>
      <c r="S41" s="3"/>
      <c r="T41" s="3"/>
      <c r="U41" s="3"/>
      <c r="V41" s="3"/>
      <c r="W41" s="3"/>
      <c r="X41" s="3"/>
      <c r="Y41" s="3"/>
      <c r="Z41" s="3"/>
    </row>
    <row r="42" spans="1:26" ht="15.75" x14ac:dyDescent="0.25">
      <c r="A42" s="3">
        <f t="shared" si="18"/>
        <v>1</v>
      </c>
      <c r="B42" s="8">
        <f t="shared" si="19"/>
        <v>1</v>
      </c>
      <c r="C42" s="10" t="s">
        <v>35</v>
      </c>
      <c r="D42" s="13">
        <v>2</v>
      </c>
      <c r="E42" s="13">
        <v>1</v>
      </c>
      <c r="F42" s="10" t="s">
        <v>36</v>
      </c>
      <c r="G42" s="9">
        <f t="shared" si="20"/>
        <v>0</v>
      </c>
      <c r="H42" s="3"/>
      <c r="I42" s="2" t="str">
        <f>INDEX(I38:I41,MATCH(MAX(R38:R41),R38:R41,0))</f>
        <v>Japón</v>
      </c>
      <c r="J42" s="49" t="s">
        <v>14</v>
      </c>
      <c r="K42" s="50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x14ac:dyDescent="0.25">
      <c r="A43" s="3">
        <f t="shared" si="18"/>
        <v>1</v>
      </c>
      <c r="B43" s="8">
        <f t="shared" si="19"/>
        <v>0</v>
      </c>
      <c r="C43" s="7" t="s">
        <v>37</v>
      </c>
      <c r="D43" s="17">
        <v>2</v>
      </c>
      <c r="E43" s="17">
        <v>4</v>
      </c>
      <c r="F43" s="7" t="s">
        <v>34</v>
      </c>
      <c r="G43" s="8">
        <f t="shared" si="20"/>
        <v>1</v>
      </c>
      <c r="H43" s="3"/>
      <c r="I43" s="1" t="str">
        <f>INDEX(I38:I41,MATCH(LARGE(R38:R41,2),R38:R41,0))</f>
        <v>España</v>
      </c>
      <c r="J43" s="45" t="s">
        <v>13</v>
      </c>
      <c r="K43" s="45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x14ac:dyDescent="0.25">
      <c r="A46" s="3"/>
      <c r="B46" s="46" t="s">
        <v>27</v>
      </c>
      <c r="C46" s="47"/>
      <c r="D46" s="47"/>
      <c r="E46" s="47"/>
      <c r="F46" s="47"/>
      <c r="G46" s="48"/>
      <c r="H46" s="3"/>
      <c r="I46" s="20" t="s">
        <v>51</v>
      </c>
      <c r="J46" s="21" t="s">
        <v>9</v>
      </c>
      <c r="K46" s="21" t="s">
        <v>5</v>
      </c>
      <c r="L46" s="21" t="s">
        <v>6</v>
      </c>
      <c r="M46" s="21" t="s">
        <v>7</v>
      </c>
      <c r="N46" s="21" t="s">
        <v>8</v>
      </c>
      <c r="O46" s="21" t="s">
        <v>10</v>
      </c>
      <c r="P46" s="21" t="s">
        <v>11</v>
      </c>
      <c r="Q46" s="21" t="s">
        <v>50</v>
      </c>
      <c r="R46" s="21" t="s">
        <v>12</v>
      </c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>
        <f t="shared" ref="A47:A52" si="22">IF(ISBLANK(D47),0,1)</f>
        <v>1</v>
      </c>
      <c r="B47" s="8">
        <f>IF(D47&gt;E47,1,0)</f>
        <v>0</v>
      </c>
      <c r="C47" s="10" t="s">
        <v>38</v>
      </c>
      <c r="D47" s="11">
        <v>0</v>
      </c>
      <c r="E47" s="11">
        <v>0</v>
      </c>
      <c r="F47" s="12" t="s">
        <v>39</v>
      </c>
      <c r="G47" s="9">
        <f>IF(E47&gt;D47,1,0)</f>
        <v>0</v>
      </c>
      <c r="H47" s="3"/>
      <c r="I47" s="14" t="s">
        <v>38</v>
      </c>
      <c r="J47" s="13">
        <f>3*L47+M47</f>
        <v>7</v>
      </c>
      <c r="K47" s="13">
        <f>SUMIF(C:C,I47,A:A)+SUMIF(F:F,I47,A:A)</f>
        <v>3</v>
      </c>
      <c r="L47" s="13">
        <f>SUMIF(C:C,I47,B:B)+SUMIF(F:F,I47,G:G)</f>
        <v>2</v>
      </c>
      <c r="M47" s="13">
        <f>K47-(L47+N47)</f>
        <v>1</v>
      </c>
      <c r="N47" s="13">
        <f>SUMIF(C:C,I47,G:G)+SUMIF(F:F,I47,B:B)</f>
        <v>0</v>
      </c>
      <c r="O47" s="13">
        <f>SUMIF(C:C,I47,D:D)+SUMIF(F:F,I47,E:E)</f>
        <v>4</v>
      </c>
      <c r="P47" s="13">
        <f>SUMIF(C:C,I47,E:E)+SUMIF(F:F,I47,D:D)</f>
        <v>1</v>
      </c>
      <c r="Q47" s="15">
        <f>O47-P47</f>
        <v>3</v>
      </c>
      <c r="R47" s="13">
        <f>J47*10000+(O47-P47)*100+O47</f>
        <v>70304</v>
      </c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>
        <f t="shared" si="22"/>
        <v>1</v>
      </c>
      <c r="B48" s="8">
        <f t="shared" ref="B48:B52" si="23">IF(D48&gt;E48,1,0)</f>
        <v>1</v>
      </c>
      <c r="C48" s="7" t="s">
        <v>41</v>
      </c>
      <c r="D48" s="17">
        <v>1</v>
      </c>
      <c r="E48" s="17">
        <v>0</v>
      </c>
      <c r="F48" s="7" t="s">
        <v>40</v>
      </c>
      <c r="G48" s="9">
        <f t="shared" ref="G48:G52" si="24">IF(E48&gt;D48,1,0)</f>
        <v>0</v>
      </c>
      <c r="H48" s="3"/>
      <c r="I48" s="16" t="s">
        <v>39</v>
      </c>
      <c r="J48" s="17">
        <f>3*L48+M48</f>
        <v>5</v>
      </c>
      <c r="K48" s="17">
        <f>SUMIF(C:C,I48,A:A)+SUMIF(F:F,I48,A:A)</f>
        <v>3</v>
      </c>
      <c r="L48" s="17">
        <f>SUMIF(C:C,I48,B:B)+SUMIF(F:F,I48,G:G)</f>
        <v>1</v>
      </c>
      <c r="M48" s="17">
        <f t="shared" ref="M48:M50" si="25">K48-(L48+N48)</f>
        <v>2</v>
      </c>
      <c r="N48" s="17">
        <f>SUMIF(C:C,I48,G:G)+SUMIF(F:F,I48,B:B)</f>
        <v>0</v>
      </c>
      <c r="O48" s="17">
        <f>SUMIF(C:C,I48,D:D)+SUMIF(F:F,I48,E:E)</f>
        <v>4</v>
      </c>
      <c r="P48" s="17">
        <f>SUMIF(C:C,I48,E:E)+SUMIF(F:F,I48,D:D)</f>
        <v>1</v>
      </c>
      <c r="Q48" s="18">
        <f t="shared" ref="Q48:Q50" si="26">O48-P48</f>
        <v>3</v>
      </c>
      <c r="R48" s="17">
        <f>J48*10000+(O48-P48)*100+O48</f>
        <v>50304</v>
      </c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>
        <f t="shared" si="22"/>
        <v>1</v>
      </c>
      <c r="B49" s="8">
        <f t="shared" si="23"/>
        <v>0</v>
      </c>
      <c r="C49" s="10" t="s">
        <v>41</v>
      </c>
      <c r="D49" s="13">
        <v>0</v>
      </c>
      <c r="E49" s="13">
        <v>2</v>
      </c>
      <c r="F49" s="10" t="s">
        <v>38</v>
      </c>
      <c r="G49" s="9">
        <f t="shared" si="24"/>
        <v>1</v>
      </c>
      <c r="H49" s="3"/>
      <c r="I49" s="14" t="s">
        <v>41</v>
      </c>
      <c r="J49" s="13">
        <f>3*L49+M49</f>
        <v>4</v>
      </c>
      <c r="K49" s="13">
        <f>SUMIF(C:C,I49,A:A)+SUMIF(F:F,I49,A:A)</f>
        <v>3</v>
      </c>
      <c r="L49" s="13">
        <f>SUMIF(C:C,I49,B:B)+SUMIF(F:F,I49,G:G)</f>
        <v>1</v>
      </c>
      <c r="M49" s="13">
        <f t="shared" si="25"/>
        <v>1</v>
      </c>
      <c r="N49" s="13">
        <f>SUMIF(C:C,I49,G:G)+SUMIF(F:F,I49,B:B)</f>
        <v>1</v>
      </c>
      <c r="O49" s="13">
        <f>SUMIF(C:C,I49,D:D)+SUMIF(F:F,I49,E:E)</f>
        <v>1</v>
      </c>
      <c r="P49" s="13">
        <f>SUMIF(C:C,I49,E:E)+SUMIF(F:F,I49,D:D)</f>
        <v>2</v>
      </c>
      <c r="Q49" s="15">
        <f t="shared" si="26"/>
        <v>-1</v>
      </c>
      <c r="R49" s="13">
        <f>J49*10000+(O49-P49)*100+O49</f>
        <v>39901</v>
      </c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>
        <f t="shared" si="22"/>
        <v>1</v>
      </c>
      <c r="B50" s="8">
        <f t="shared" si="23"/>
        <v>1</v>
      </c>
      <c r="C50" s="7" t="s">
        <v>39</v>
      </c>
      <c r="D50" s="17">
        <v>4</v>
      </c>
      <c r="E50" s="17">
        <v>1</v>
      </c>
      <c r="F50" s="7" t="s">
        <v>40</v>
      </c>
      <c r="G50" s="9">
        <f t="shared" si="24"/>
        <v>0</v>
      </c>
      <c r="H50" s="3"/>
      <c r="I50" s="19" t="s">
        <v>40</v>
      </c>
      <c r="J50" s="17">
        <f>3*L50+M50</f>
        <v>0</v>
      </c>
      <c r="K50" s="17">
        <f>SUMIF(C:C,I50,A:A)+SUMIF(F:F,I50,A:A)</f>
        <v>3</v>
      </c>
      <c r="L50" s="17">
        <f>SUMIF(C:C,I50,B:B)+SUMIF(F:F,I50,G:G)</f>
        <v>0</v>
      </c>
      <c r="M50" s="17">
        <f t="shared" si="25"/>
        <v>0</v>
      </c>
      <c r="N50" s="17">
        <f>SUMIF(C:C,I50,G:G)+SUMIF(F:F,I50,B:B)</f>
        <v>3</v>
      </c>
      <c r="O50" s="17">
        <f>SUMIF(C:C,I50,D:D)+SUMIF(F:F,I50,E:E)</f>
        <v>2</v>
      </c>
      <c r="P50" s="17">
        <f>SUMIF(C:C,I50,E:E)+SUMIF(F:F,I50,D:D)</f>
        <v>7</v>
      </c>
      <c r="Q50" s="18">
        <f t="shared" si="26"/>
        <v>-5</v>
      </c>
      <c r="R50" s="17">
        <f>J50*10000+(O50-P50)*100+O50</f>
        <v>-498</v>
      </c>
      <c r="S50" s="3"/>
      <c r="T50" s="3"/>
      <c r="U50" s="3"/>
      <c r="V50" s="3"/>
      <c r="W50" s="3"/>
      <c r="X50" s="3"/>
      <c r="Y50" s="3"/>
      <c r="Z50" s="3"/>
    </row>
    <row r="51" spans="1:26" ht="15.75" x14ac:dyDescent="0.25">
      <c r="A51" s="3">
        <f t="shared" si="22"/>
        <v>1</v>
      </c>
      <c r="B51" s="8">
        <f t="shared" si="23"/>
        <v>0</v>
      </c>
      <c r="C51" s="10" t="s">
        <v>39</v>
      </c>
      <c r="D51" s="13">
        <v>0</v>
      </c>
      <c r="E51" s="13">
        <v>0</v>
      </c>
      <c r="F51" s="10" t="s">
        <v>41</v>
      </c>
      <c r="G51" s="9">
        <f t="shared" si="24"/>
        <v>0</v>
      </c>
      <c r="H51" s="3"/>
      <c r="I51" s="2" t="str">
        <f>INDEX(I47:I50,MATCH(MAX(R47:R50),R47:R50,0))</f>
        <v>Marruecos</v>
      </c>
      <c r="J51" s="49" t="s">
        <v>14</v>
      </c>
      <c r="K51" s="50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x14ac:dyDescent="0.25">
      <c r="A52" s="3">
        <f t="shared" si="22"/>
        <v>1</v>
      </c>
      <c r="B52" s="8">
        <f t="shared" si="23"/>
        <v>0</v>
      </c>
      <c r="C52" s="7" t="s">
        <v>40</v>
      </c>
      <c r="D52" s="17">
        <v>1</v>
      </c>
      <c r="E52" s="17">
        <v>2</v>
      </c>
      <c r="F52" s="7" t="s">
        <v>38</v>
      </c>
      <c r="G52" s="8">
        <f t="shared" si="24"/>
        <v>1</v>
      </c>
      <c r="H52" s="3"/>
      <c r="I52" s="1" t="str">
        <f>INDEX(I47:I50,MATCH(LARGE(R47:R50,2),R47:R50,0))</f>
        <v>Croacia</v>
      </c>
      <c r="J52" s="45" t="s">
        <v>13</v>
      </c>
      <c r="K52" s="45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x14ac:dyDescent="0.25">
      <c r="A55" s="3"/>
      <c r="B55" s="46" t="s">
        <v>28</v>
      </c>
      <c r="C55" s="47"/>
      <c r="D55" s="47"/>
      <c r="E55" s="47"/>
      <c r="F55" s="47"/>
      <c r="G55" s="48"/>
      <c r="H55" s="3"/>
      <c r="I55" s="20" t="s">
        <v>51</v>
      </c>
      <c r="J55" s="21" t="s">
        <v>9</v>
      </c>
      <c r="K55" s="21" t="s">
        <v>5</v>
      </c>
      <c r="L55" s="21" t="s">
        <v>6</v>
      </c>
      <c r="M55" s="21" t="s">
        <v>7</v>
      </c>
      <c r="N55" s="21" t="s">
        <v>8</v>
      </c>
      <c r="O55" s="21" t="s">
        <v>10</v>
      </c>
      <c r="P55" s="21" t="s">
        <v>11</v>
      </c>
      <c r="Q55" s="21" t="s">
        <v>50</v>
      </c>
      <c r="R55" s="21" t="s">
        <v>12</v>
      </c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>
        <f t="shared" ref="A56:A61" si="27">IF(ISBLANK(D56),0,1)</f>
        <v>1</v>
      </c>
      <c r="B56" s="8">
        <f>IF(D56&gt;E56,1,0)</f>
        <v>1</v>
      </c>
      <c r="C56" s="10" t="s">
        <v>42</v>
      </c>
      <c r="D56" s="11">
        <v>1</v>
      </c>
      <c r="E56" s="11">
        <v>0</v>
      </c>
      <c r="F56" s="12" t="s">
        <v>43</v>
      </c>
      <c r="G56" s="9">
        <f>IF(E56&gt;D56,1,0)</f>
        <v>0</v>
      </c>
      <c r="H56" s="3"/>
      <c r="I56" s="14" t="s">
        <v>44</v>
      </c>
      <c r="J56" s="13">
        <f>3*L56+M56</f>
        <v>6</v>
      </c>
      <c r="K56" s="13">
        <f>SUMIF(C:C,I56,A:A)+SUMIF(F:F,I56,A:A)</f>
        <v>3</v>
      </c>
      <c r="L56" s="13">
        <f>SUMIF(C:C,I56,B:B)+SUMIF(F:F,I56,G:G)</f>
        <v>2</v>
      </c>
      <c r="M56" s="13">
        <f>K56-(L56+N56)</f>
        <v>0</v>
      </c>
      <c r="N56" s="13">
        <f>SUMIF(C:C,I56,G:G)+SUMIF(F:F,I56,B:B)</f>
        <v>1</v>
      </c>
      <c r="O56" s="13">
        <f>SUMIF(C:C,I56,D:D)+SUMIF(F:F,I56,E:E)</f>
        <v>3</v>
      </c>
      <c r="P56" s="13">
        <f>SUMIF(C:C,I56,E:E)+SUMIF(F:F,I56,D:D)</f>
        <v>1</v>
      </c>
      <c r="Q56" s="15">
        <f>O56-P56</f>
        <v>2</v>
      </c>
      <c r="R56" s="13">
        <f>J56*10000+(O56-P56)*100+O56</f>
        <v>60203</v>
      </c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>
        <f t="shared" si="27"/>
        <v>1</v>
      </c>
      <c r="B57" s="8">
        <f t="shared" ref="B57:B61" si="28">IF(D57&gt;E57,1,0)</f>
        <v>1</v>
      </c>
      <c r="C57" s="7" t="s">
        <v>44</v>
      </c>
      <c r="D57" s="17">
        <v>2</v>
      </c>
      <c r="E57" s="17">
        <v>0</v>
      </c>
      <c r="F57" s="7" t="s">
        <v>45</v>
      </c>
      <c r="G57" s="9">
        <f t="shared" ref="G57:G61" si="29">IF(E57&gt;D57,1,0)</f>
        <v>0</v>
      </c>
      <c r="H57" s="3"/>
      <c r="I57" s="16" t="s">
        <v>42</v>
      </c>
      <c r="J57" s="17">
        <f>3*L57+M57</f>
        <v>6</v>
      </c>
      <c r="K57" s="17">
        <f>SUMIF(C:C,I57,A:A)+SUMIF(F:F,I57,A:A)</f>
        <v>3</v>
      </c>
      <c r="L57" s="17">
        <f>SUMIF(C:C,I57,B:B)+SUMIF(F:F,I57,G:G)</f>
        <v>2</v>
      </c>
      <c r="M57" s="17">
        <f t="shared" ref="M57:M59" si="30">K57-(L57+N57)</f>
        <v>0</v>
      </c>
      <c r="N57" s="17">
        <f>SUMIF(C:C,I57,G:G)+SUMIF(F:F,I57,B:B)</f>
        <v>1</v>
      </c>
      <c r="O57" s="17">
        <f>SUMIF(C:C,I57,D:D)+SUMIF(F:F,I57,E:E)</f>
        <v>4</v>
      </c>
      <c r="P57" s="17">
        <f>SUMIF(C:C,I57,E:E)+SUMIF(F:F,I57,D:D)</f>
        <v>3</v>
      </c>
      <c r="Q57" s="18">
        <f t="shared" ref="Q57:Q59" si="31">O57-P57</f>
        <v>1</v>
      </c>
      <c r="R57" s="17">
        <f>J57*10000+(O57-P57)*100+O57</f>
        <v>60104</v>
      </c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>
        <f t="shared" si="27"/>
        <v>1</v>
      </c>
      <c r="B58" s="8">
        <f t="shared" si="28"/>
        <v>0</v>
      </c>
      <c r="C58" s="10" t="s">
        <v>43</v>
      </c>
      <c r="D58" s="13">
        <v>3</v>
      </c>
      <c r="E58" s="13">
        <v>3</v>
      </c>
      <c r="F58" s="10" t="s">
        <v>45</v>
      </c>
      <c r="G58" s="9">
        <f t="shared" si="29"/>
        <v>0</v>
      </c>
      <c r="H58" s="3"/>
      <c r="I58" s="16" t="s">
        <v>43</v>
      </c>
      <c r="J58" s="17">
        <f>3*L58+M58</f>
        <v>4</v>
      </c>
      <c r="K58" s="13">
        <f>SUMIF(C:C,I58,A:A)+SUMIF(F:F,I58,A:A)</f>
        <v>3</v>
      </c>
      <c r="L58" s="13">
        <f>SUMIF(C:C,I58,B:B)+SUMIF(F:F,I58,G:G)</f>
        <v>1</v>
      </c>
      <c r="M58" s="13">
        <f t="shared" si="30"/>
        <v>1</v>
      </c>
      <c r="N58" s="13">
        <f>SUMIF(C:C,I58,G:G)+SUMIF(F:F,I58,B:B)</f>
        <v>1</v>
      </c>
      <c r="O58" s="13">
        <f>SUMIF(C:C,I58,D:D)+SUMIF(F:F,I58,E:E)</f>
        <v>4</v>
      </c>
      <c r="P58" s="13">
        <f>SUMIF(C:C,I58,E:E)+SUMIF(F:F,I58,D:D)</f>
        <v>4</v>
      </c>
      <c r="Q58" s="15">
        <f t="shared" si="31"/>
        <v>0</v>
      </c>
      <c r="R58" s="13">
        <f>J58*10000+(O58-P58)*100+O58</f>
        <v>40004</v>
      </c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>
        <f t="shared" si="27"/>
        <v>1</v>
      </c>
      <c r="B59" s="8">
        <f t="shared" si="28"/>
        <v>1</v>
      </c>
      <c r="C59" s="7" t="s">
        <v>44</v>
      </c>
      <c r="D59" s="17">
        <v>1</v>
      </c>
      <c r="E59" s="17">
        <v>0</v>
      </c>
      <c r="F59" s="7" t="s">
        <v>42</v>
      </c>
      <c r="G59" s="9">
        <f t="shared" si="29"/>
        <v>0</v>
      </c>
      <c r="H59" s="3"/>
      <c r="I59" s="29" t="s">
        <v>45</v>
      </c>
      <c r="J59" s="13">
        <f>3*L59+M59</f>
        <v>1</v>
      </c>
      <c r="K59" s="17">
        <f>SUMIF(C:C,I59,A:A)+SUMIF(F:F,I59,A:A)</f>
        <v>3</v>
      </c>
      <c r="L59" s="17">
        <f>SUMIF(C:C,I59,B:B)+SUMIF(F:F,I59,G:G)</f>
        <v>0</v>
      </c>
      <c r="M59" s="17">
        <f t="shared" si="30"/>
        <v>1</v>
      </c>
      <c r="N59" s="17">
        <f>SUMIF(C:C,I59,G:G)+SUMIF(F:F,I59,B:B)</f>
        <v>2</v>
      </c>
      <c r="O59" s="17">
        <f>SUMIF(C:C,I59,D:D)+SUMIF(F:F,I59,E:E)</f>
        <v>5</v>
      </c>
      <c r="P59" s="17">
        <f>SUMIF(C:C,I59,E:E)+SUMIF(F:F,I59,D:D)</f>
        <v>8</v>
      </c>
      <c r="Q59" s="18">
        <f t="shared" si="31"/>
        <v>-3</v>
      </c>
      <c r="R59" s="17">
        <f>J59*10000+(O59-P59)*100+O59</f>
        <v>9705</v>
      </c>
      <c r="S59" s="3"/>
      <c r="T59" s="3"/>
      <c r="U59" s="3"/>
      <c r="V59" s="3"/>
      <c r="W59" s="3"/>
      <c r="X59" s="3"/>
      <c r="Y59" s="3"/>
      <c r="Z59" s="3"/>
    </row>
    <row r="60" spans="1:26" ht="15.75" x14ac:dyDescent="0.25">
      <c r="A60" s="3">
        <f t="shared" si="27"/>
        <v>1</v>
      </c>
      <c r="B60" s="8">
        <f t="shared" si="28"/>
        <v>0</v>
      </c>
      <c r="C60" s="10" t="s">
        <v>45</v>
      </c>
      <c r="D60" s="13">
        <v>2</v>
      </c>
      <c r="E60" s="13">
        <v>3</v>
      </c>
      <c r="F60" s="10" t="s">
        <v>42</v>
      </c>
      <c r="G60" s="9">
        <f t="shared" si="29"/>
        <v>1</v>
      </c>
      <c r="H60" s="3"/>
      <c r="I60" s="2" t="str">
        <f>INDEX(I56:I59,MATCH(MAX(R56:R59),R56:R59,0))</f>
        <v>Brasil</v>
      </c>
      <c r="J60" s="49" t="s">
        <v>14</v>
      </c>
      <c r="K60" s="50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x14ac:dyDescent="0.25">
      <c r="A61" s="3">
        <f t="shared" si="27"/>
        <v>1</v>
      </c>
      <c r="B61" s="8">
        <f t="shared" si="28"/>
        <v>1</v>
      </c>
      <c r="C61" s="7" t="s">
        <v>43</v>
      </c>
      <c r="D61" s="17">
        <v>1</v>
      </c>
      <c r="E61" s="17">
        <v>0</v>
      </c>
      <c r="F61" s="7" t="s">
        <v>44</v>
      </c>
      <c r="G61" s="8">
        <f t="shared" si="29"/>
        <v>0</v>
      </c>
      <c r="H61" s="3"/>
      <c r="I61" s="1" t="str">
        <f>INDEX(I56:I59,MATCH(LARGE(R56:R59,2),R56:R59,0))</f>
        <v>Suiza</v>
      </c>
      <c r="J61" s="45" t="s">
        <v>13</v>
      </c>
      <c r="K61" s="45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x14ac:dyDescent="0.25">
      <c r="A64" s="3"/>
      <c r="B64" s="46" t="s">
        <v>29</v>
      </c>
      <c r="C64" s="47"/>
      <c r="D64" s="47"/>
      <c r="E64" s="47"/>
      <c r="F64" s="47"/>
      <c r="G64" s="48"/>
      <c r="H64" s="3"/>
      <c r="I64" s="20" t="s">
        <v>51</v>
      </c>
      <c r="J64" s="21" t="s">
        <v>9</v>
      </c>
      <c r="K64" s="21" t="s">
        <v>5</v>
      </c>
      <c r="L64" s="21" t="s">
        <v>6</v>
      </c>
      <c r="M64" s="21" t="s">
        <v>7</v>
      </c>
      <c r="N64" s="21" t="s">
        <v>8</v>
      </c>
      <c r="O64" s="21" t="s">
        <v>10</v>
      </c>
      <c r="P64" s="21" t="s">
        <v>11</v>
      </c>
      <c r="Q64" s="21" t="s">
        <v>50</v>
      </c>
      <c r="R64" s="21" t="s">
        <v>12</v>
      </c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>
        <f t="shared" ref="A65:A70" si="32">IF(ISBLANK(D65),0,1)</f>
        <v>1</v>
      </c>
      <c r="B65" s="8">
        <f>IF(D65&gt;E65,1,0)</f>
        <v>0</v>
      </c>
      <c r="C65" s="10" t="s">
        <v>46</v>
      </c>
      <c r="D65" s="11">
        <v>0</v>
      </c>
      <c r="E65" s="11">
        <v>0</v>
      </c>
      <c r="F65" s="12" t="s">
        <v>47</v>
      </c>
      <c r="G65" s="9">
        <f>IF(E65&gt;D65,1,0)</f>
        <v>0</v>
      </c>
      <c r="H65" s="3"/>
      <c r="I65" s="14" t="s">
        <v>48</v>
      </c>
      <c r="J65" s="13">
        <f>3*L65+M65</f>
        <v>6</v>
      </c>
      <c r="K65" s="13">
        <f>SUMIF(C:C,I65,A:A)+SUMIF(F:F,I65,A:A)</f>
        <v>3</v>
      </c>
      <c r="L65" s="13">
        <f>SUMIF(C:C,I65,B:B)+SUMIF(F:F,I65,G:G)</f>
        <v>2</v>
      </c>
      <c r="M65" s="13">
        <f>K65-(L65+N65)</f>
        <v>0</v>
      </c>
      <c r="N65" s="13">
        <f>SUMIF(C:C,I65,G:G)+SUMIF(F:F,I65,B:B)</f>
        <v>1</v>
      </c>
      <c r="O65" s="13">
        <f>SUMIF(C:C,I65,D:D)+SUMIF(F:F,I65,E:E)</f>
        <v>6</v>
      </c>
      <c r="P65" s="13">
        <f>SUMIF(C:C,I65,E:E)+SUMIF(F:F,I65,D:D)</f>
        <v>4</v>
      </c>
      <c r="Q65" s="15">
        <f>O65-P65</f>
        <v>2</v>
      </c>
      <c r="R65" s="13">
        <f>J65*10000+(O65-P65)*100+O65</f>
        <v>60206</v>
      </c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>
        <f t="shared" si="32"/>
        <v>1</v>
      </c>
      <c r="B66" s="8">
        <f t="shared" ref="B66:B70" si="33">IF(D66&gt;E66,1,0)</f>
        <v>1</v>
      </c>
      <c r="C66" s="7" t="s">
        <v>48</v>
      </c>
      <c r="D66" s="17">
        <v>3</v>
      </c>
      <c r="E66" s="17">
        <v>2</v>
      </c>
      <c r="F66" s="7" t="s">
        <v>49</v>
      </c>
      <c r="G66" s="9">
        <f t="shared" ref="G66:G70" si="34">IF(E66&gt;D66,1,0)</f>
        <v>0</v>
      </c>
      <c r="H66" s="3"/>
      <c r="I66" s="14" t="s">
        <v>46</v>
      </c>
      <c r="J66" s="13">
        <f>3*L66+M66</f>
        <v>4</v>
      </c>
      <c r="K66" s="17">
        <f>SUMIF(C:C,I66,A:A)+SUMIF(F:F,I66,A:A)</f>
        <v>3</v>
      </c>
      <c r="L66" s="17">
        <f>SUMIF(C:C,I66,B:B)+SUMIF(F:F,I66,G:G)</f>
        <v>1</v>
      </c>
      <c r="M66" s="17">
        <f t="shared" ref="M66:M68" si="35">K66-(L66+N66)</f>
        <v>1</v>
      </c>
      <c r="N66" s="17">
        <f>SUMIF(C:C,I66,G:G)+SUMIF(F:F,I66,B:B)</f>
        <v>1</v>
      </c>
      <c r="O66" s="17">
        <f>SUMIF(C:C,I66,D:D)+SUMIF(F:F,I66,E:E)</f>
        <v>2</v>
      </c>
      <c r="P66" s="17">
        <f>SUMIF(C:C,I66,E:E)+SUMIF(F:F,I66,D:D)</f>
        <v>2</v>
      </c>
      <c r="Q66" s="18">
        <f t="shared" ref="Q66:Q68" si="36">O66-P66</f>
        <v>0</v>
      </c>
      <c r="R66" s="17">
        <f>J66*10000+(O66-P66)*100+O66</f>
        <v>40002</v>
      </c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>
        <f t="shared" si="32"/>
        <v>1</v>
      </c>
      <c r="B67" s="8">
        <f t="shared" si="33"/>
        <v>0</v>
      </c>
      <c r="C67" s="10" t="s">
        <v>47</v>
      </c>
      <c r="D67" s="13">
        <v>2</v>
      </c>
      <c r="E67" s="13">
        <v>3</v>
      </c>
      <c r="F67" s="10" t="s">
        <v>49</v>
      </c>
      <c r="G67" s="9">
        <f t="shared" si="34"/>
        <v>1</v>
      </c>
      <c r="H67" s="3"/>
      <c r="I67" s="16" t="s">
        <v>47</v>
      </c>
      <c r="J67" s="17">
        <f>3*L67+M67</f>
        <v>4</v>
      </c>
      <c r="K67" s="13">
        <f>SUMIF(C:C,I67,A:A)+SUMIF(F:F,I67,A:A)</f>
        <v>3</v>
      </c>
      <c r="L67" s="13">
        <f>SUMIF(C:C,I67,B:B)+SUMIF(F:F,I67,G:G)</f>
        <v>1</v>
      </c>
      <c r="M67" s="13">
        <f t="shared" si="35"/>
        <v>1</v>
      </c>
      <c r="N67" s="13">
        <f>SUMIF(C:C,I67,G:G)+SUMIF(F:F,I67,B:B)</f>
        <v>1</v>
      </c>
      <c r="O67" s="13">
        <f>SUMIF(C:C,I67,D:D)+SUMIF(F:F,I67,E:E)</f>
        <v>4</v>
      </c>
      <c r="P67" s="13">
        <f>SUMIF(C:C,I67,E:E)+SUMIF(F:F,I67,D:D)</f>
        <v>4</v>
      </c>
      <c r="Q67" s="15">
        <f t="shared" si="36"/>
        <v>0</v>
      </c>
      <c r="R67" s="13">
        <f>J67*10000+(O67-P67)*100+O67</f>
        <v>40004</v>
      </c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>
        <f t="shared" si="32"/>
        <v>1</v>
      </c>
      <c r="B68" s="8">
        <f t="shared" si="33"/>
        <v>1</v>
      </c>
      <c r="C68" s="7" t="s">
        <v>48</v>
      </c>
      <c r="D68" s="17">
        <v>2</v>
      </c>
      <c r="E68" s="17">
        <v>0</v>
      </c>
      <c r="F68" s="7" t="s">
        <v>46</v>
      </c>
      <c r="G68" s="9">
        <f t="shared" si="34"/>
        <v>0</v>
      </c>
      <c r="H68" s="3"/>
      <c r="I68" s="19" t="s">
        <v>49</v>
      </c>
      <c r="J68" s="17">
        <f>3*L68+M68</f>
        <v>3</v>
      </c>
      <c r="K68" s="17">
        <f>SUMIF(C:C,I68,A:A)+SUMIF(F:F,I68,A:A)</f>
        <v>3</v>
      </c>
      <c r="L68" s="17">
        <f>SUMIF(C:C,I68,B:B)+SUMIF(F:F,I68,G:G)</f>
        <v>1</v>
      </c>
      <c r="M68" s="17">
        <f t="shared" si="35"/>
        <v>0</v>
      </c>
      <c r="N68" s="17">
        <f>SUMIF(C:C,I68,G:G)+SUMIF(F:F,I68,B:B)</f>
        <v>2</v>
      </c>
      <c r="O68" s="17">
        <f>SUMIF(C:C,I68,D:D)+SUMIF(F:F,I68,E:E)</f>
        <v>5</v>
      </c>
      <c r="P68" s="17">
        <f>SUMIF(C:C,I68,E:E)+SUMIF(F:F,I68,D:D)</f>
        <v>7</v>
      </c>
      <c r="Q68" s="18">
        <f t="shared" si="36"/>
        <v>-2</v>
      </c>
      <c r="R68" s="17">
        <f>J68*10000+(O68-P68)*100+O68</f>
        <v>29805</v>
      </c>
      <c r="S68" s="3"/>
      <c r="T68" s="3"/>
      <c r="U68" s="3"/>
      <c r="V68" s="3"/>
      <c r="W68" s="3"/>
      <c r="X68" s="3"/>
      <c r="Y68" s="3"/>
      <c r="Z68" s="3"/>
    </row>
    <row r="69" spans="1:26" ht="15.75" x14ac:dyDescent="0.25">
      <c r="A69" s="3">
        <f t="shared" si="32"/>
        <v>1</v>
      </c>
      <c r="B69" s="8">
        <f t="shared" si="33"/>
        <v>1</v>
      </c>
      <c r="C69" s="10" t="s">
        <v>47</v>
      </c>
      <c r="D69" s="13">
        <v>2</v>
      </c>
      <c r="E69" s="13">
        <v>1</v>
      </c>
      <c r="F69" s="10" t="s">
        <v>48</v>
      </c>
      <c r="G69" s="9">
        <f t="shared" si="34"/>
        <v>0</v>
      </c>
      <c r="H69" s="3"/>
      <c r="I69" s="2" t="str">
        <f>INDEX(I65:I68,MATCH(MAX(R65:R68),R65:R68,0))</f>
        <v>Portugal</v>
      </c>
      <c r="J69" s="49" t="s">
        <v>14</v>
      </c>
      <c r="K69" s="50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x14ac:dyDescent="0.25">
      <c r="A70" s="3">
        <f t="shared" si="32"/>
        <v>1</v>
      </c>
      <c r="B70" s="8">
        <f t="shared" si="33"/>
        <v>0</v>
      </c>
      <c r="C70" s="7" t="s">
        <v>49</v>
      </c>
      <c r="D70" s="17">
        <v>0</v>
      </c>
      <c r="E70" s="17">
        <v>2</v>
      </c>
      <c r="F70" s="7" t="s">
        <v>46</v>
      </c>
      <c r="G70" s="8">
        <f t="shared" si="34"/>
        <v>1</v>
      </c>
      <c r="H70" s="3"/>
      <c r="I70" s="1" t="str">
        <f>INDEX(I65:I68,MATCH(LARGE(R65:R68,2),R65:R68,0))</f>
        <v>Corea del Sur</v>
      </c>
      <c r="J70" s="45" t="s">
        <v>13</v>
      </c>
      <c r="K70" s="45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T75" s="3"/>
      <c r="U75" s="3"/>
      <c r="V75" s="3"/>
      <c r="W75" s="3"/>
      <c r="X75" s="3"/>
      <c r="Y75" s="3"/>
    </row>
  </sheetData>
  <sortState xmlns:xlrd2="http://schemas.microsoft.com/office/spreadsheetml/2017/richdata2" ref="I56:J59">
    <sortCondition descending="1" ref="J56:J59"/>
  </sortState>
  <mergeCells count="30">
    <mergeCell ref="U1:X1"/>
    <mergeCell ref="U11:X11"/>
    <mergeCell ref="J25:K25"/>
    <mergeCell ref="J14:K14"/>
    <mergeCell ref="J24:K24"/>
    <mergeCell ref="U19:X19"/>
    <mergeCell ref="U24:X24"/>
    <mergeCell ref="B28:G28"/>
    <mergeCell ref="B1:G1"/>
    <mergeCell ref="J6:K6"/>
    <mergeCell ref="J7:K7"/>
    <mergeCell ref="B9:G9"/>
    <mergeCell ref="B19:G19"/>
    <mergeCell ref="J15:K15"/>
    <mergeCell ref="J16:K16"/>
    <mergeCell ref="U29:X29"/>
    <mergeCell ref="J61:K61"/>
    <mergeCell ref="B64:G64"/>
    <mergeCell ref="J69:K69"/>
    <mergeCell ref="J70:K70"/>
    <mergeCell ref="B46:G46"/>
    <mergeCell ref="J51:K51"/>
    <mergeCell ref="J52:K52"/>
    <mergeCell ref="B55:G55"/>
    <mergeCell ref="J60:K60"/>
    <mergeCell ref="J33:K33"/>
    <mergeCell ref="J34:K34"/>
    <mergeCell ref="B37:G37"/>
    <mergeCell ref="J42:K42"/>
    <mergeCell ref="J43:K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M20</dc:creator>
  <cp:lastModifiedBy>M20</cp:lastModifiedBy>
  <dcterms:created xsi:type="dcterms:W3CDTF">2022-11-20T14:01:57Z</dcterms:created>
  <dcterms:modified xsi:type="dcterms:W3CDTF">2022-12-14T21:58:52Z</dcterms:modified>
</cp:coreProperties>
</file>